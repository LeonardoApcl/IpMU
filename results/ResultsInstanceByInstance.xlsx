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rjc-my.sharepoint.com/personal/sergio_salazar_urjc_es/Documents/Investigacion/Problemas trabajados/pmBinetworkUpgrade/"/>
    </mc:Choice>
  </mc:AlternateContent>
  <xr:revisionPtr revIDLastSave="163" documentId="11_AD4D2F04E46CFB4ACB3E20ECB590D548683EDF1E" xr6:coauthVersionLast="47" xr6:coauthVersionMax="47" xr10:uidLastSave="{FD55CE1C-0AF2-4051-9FC2-DE5D0986895B}"/>
  <bookViews>
    <workbookView xWindow="-16320" yWindow="-4065" windowWidth="16440" windowHeight="28320" xr2:uid="{00000000-000D-0000-FFFF-FFFF00000000}"/>
  </bookViews>
  <sheets>
    <sheet name="n=20" sheetId="1" r:id="rId1"/>
    <sheet name="n=40" sheetId="2" r:id="rId2"/>
    <sheet name="n=60" sheetId="3" r:id="rId3"/>
    <sheet name="n=80" sheetId="4" r:id="rId4"/>
    <sheet name="n=100" sheetId="5" r:id="rId5"/>
    <sheet name="n=200" sheetId="6" r:id="rId6"/>
    <sheet name="n=500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" i="8" l="1"/>
  <c r="L50" i="8"/>
  <c r="M50" i="8"/>
  <c r="M102" i="8"/>
  <c r="O50" i="8"/>
  <c r="N58" i="8"/>
  <c r="N62" i="8"/>
  <c r="N64" i="8"/>
  <c r="N73" i="8"/>
  <c r="N76" i="8"/>
  <c r="N78" i="8"/>
  <c r="N80" i="8"/>
  <c r="N84" i="8"/>
  <c r="N86" i="8"/>
  <c r="N95" i="8"/>
  <c r="N98" i="8"/>
  <c r="N100" i="8"/>
  <c r="N57" i="8"/>
  <c r="C58" i="8"/>
  <c r="C59" i="8"/>
  <c r="J59" i="8" s="1"/>
  <c r="K59" i="8" s="1"/>
  <c r="C60" i="8"/>
  <c r="J60" i="8" s="1"/>
  <c r="K60" i="8" s="1"/>
  <c r="C61" i="8"/>
  <c r="F61" i="8" s="1"/>
  <c r="G61" i="8" s="1"/>
  <c r="C62" i="8"/>
  <c r="C63" i="8"/>
  <c r="N63" i="8" s="1"/>
  <c r="C64" i="8"/>
  <c r="C65" i="8"/>
  <c r="J65" i="8" s="1"/>
  <c r="K65" i="8" s="1"/>
  <c r="C66" i="8"/>
  <c r="J66" i="8" s="1"/>
  <c r="K66" i="8" s="1"/>
  <c r="C67" i="8"/>
  <c r="J67" i="8" s="1"/>
  <c r="K67" i="8" s="1"/>
  <c r="C68" i="8"/>
  <c r="J68" i="8" s="1"/>
  <c r="K68" i="8" s="1"/>
  <c r="C69" i="8"/>
  <c r="F69" i="8" s="1"/>
  <c r="G69" i="8" s="1"/>
  <c r="C70" i="8"/>
  <c r="J70" i="8" s="1"/>
  <c r="K70" i="8" s="1"/>
  <c r="C71" i="8"/>
  <c r="J71" i="8" s="1"/>
  <c r="K71" i="8" s="1"/>
  <c r="C72" i="8"/>
  <c r="J72" i="8" s="1"/>
  <c r="K72" i="8" s="1"/>
  <c r="C73" i="8"/>
  <c r="J73" i="8" s="1"/>
  <c r="K73" i="8" s="1"/>
  <c r="C74" i="8"/>
  <c r="J74" i="8" s="1"/>
  <c r="K74" i="8" s="1"/>
  <c r="C75" i="8"/>
  <c r="J75" i="8" s="1"/>
  <c r="K75" i="8" s="1"/>
  <c r="C76" i="8"/>
  <c r="F76" i="8" s="1"/>
  <c r="G76" i="8" s="1"/>
  <c r="C77" i="8"/>
  <c r="J77" i="8" s="1"/>
  <c r="K77" i="8" s="1"/>
  <c r="C78" i="8"/>
  <c r="F78" i="8" s="1"/>
  <c r="G78" i="8" s="1"/>
  <c r="C79" i="8"/>
  <c r="J79" i="8" s="1"/>
  <c r="K79" i="8" s="1"/>
  <c r="C80" i="8"/>
  <c r="C81" i="8"/>
  <c r="F81" i="8" s="1"/>
  <c r="G81" i="8" s="1"/>
  <c r="C82" i="8"/>
  <c r="J82" i="8" s="1"/>
  <c r="K82" i="8" s="1"/>
  <c r="C83" i="8"/>
  <c r="F83" i="8" s="1"/>
  <c r="G83" i="8" s="1"/>
  <c r="C84" i="8"/>
  <c r="J84" i="8" s="1"/>
  <c r="K84" i="8" s="1"/>
  <c r="C85" i="8"/>
  <c r="N85" i="8" s="1"/>
  <c r="C86" i="8"/>
  <c r="J86" i="8" s="1"/>
  <c r="K86" i="8" s="1"/>
  <c r="C87" i="8"/>
  <c r="J87" i="8" s="1"/>
  <c r="K87" i="8" s="1"/>
  <c r="C88" i="8"/>
  <c r="J88" i="8" s="1"/>
  <c r="K88" i="8" s="1"/>
  <c r="C89" i="8"/>
  <c r="J89" i="8" s="1"/>
  <c r="K89" i="8" s="1"/>
  <c r="C90" i="8"/>
  <c r="F90" i="8" s="1"/>
  <c r="G90" i="8" s="1"/>
  <c r="C91" i="8"/>
  <c r="J91" i="8" s="1"/>
  <c r="K91" i="8" s="1"/>
  <c r="C92" i="8"/>
  <c r="J92" i="8" s="1"/>
  <c r="K92" i="8" s="1"/>
  <c r="C93" i="8"/>
  <c r="F93" i="8" s="1"/>
  <c r="G93" i="8" s="1"/>
  <c r="C94" i="8"/>
  <c r="F94" i="8" s="1"/>
  <c r="G94" i="8" s="1"/>
  <c r="C95" i="8"/>
  <c r="J95" i="8" s="1"/>
  <c r="K95" i="8" s="1"/>
  <c r="C96" i="8"/>
  <c r="J96" i="8" s="1"/>
  <c r="K96" i="8" s="1"/>
  <c r="C97" i="8"/>
  <c r="J97" i="8" s="1"/>
  <c r="K97" i="8" s="1"/>
  <c r="C98" i="8"/>
  <c r="J98" i="8" s="1"/>
  <c r="K98" i="8" s="1"/>
  <c r="C99" i="8"/>
  <c r="J99" i="8" s="1"/>
  <c r="K99" i="8" s="1"/>
  <c r="C100" i="8"/>
  <c r="F100" i="8" s="1"/>
  <c r="G100" i="8" s="1"/>
  <c r="C101" i="8"/>
  <c r="J101" i="8" s="1"/>
  <c r="K101" i="8" s="1"/>
  <c r="C57" i="8"/>
  <c r="J57" i="8" s="1"/>
  <c r="K57" i="8" s="1"/>
  <c r="I102" i="8"/>
  <c r="H102" i="8"/>
  <c r="E102" i="8"/>
  <c r="D102" i="8"/>
  <c r="J85" i="8"/>
  <c r="K85" i="8" s="1"/>
  <c r="J83" i="8"/>
  <c r="K83" i="8" s="1"/>
  <c r="J80" i="8"/>
  <c r="K80" i="8" s="1"/>
  <c r="F80" i="8"/>
  <c r="G80" i="8" s="1"/>
  <c r="F67" i="8"/>
  <c r="G67" i="8" s="1"/>
  <c r="F65" i="8"/>
  <c r="G65" i="8" s="1"/>
  <c r="J64" i="8"/>
  <c r="K64" i="8" s="1"/>
  <c r="F64" i="8"/>
  <c r="G64" i="8" s="1"/>
  <c r="J63" i="8"/>
  <c r="K63" i="8" s="1"/>
  <c r="F63" i="8"/>
  <c r="G63" i="8" s="1"/>
  <c r="J62" i="8"/>
  <c r="K62" i="8" s="1"/>
  <c r="F62" i="8"/>
  <c r="G62" i="8" s="1"/>
  <c r="F59" i="8"/>
  <c r="G59" i="8" s="1"/>
  <c r="J58" i="8"/>
  <c r="K58" i="8" s="1"/>
  <c r="F58" i="8"/>
  <c r="G58" i="8" s="1"/>
  <c r="F57" i="8"/>
  <c r="G57" i="8" s="1"/>
  <c r="I50" i="8"/>
  <c r="H50" i="8"/>
  <c r="E50" i="8"/>
  <c r="D50" i="8"/>
  <c r="C49" i="8"/>
  <c r="N49" i="8" s="1"/>
  <c r="C48" i="8"/>
  <c r="J48" i="8" s="1"/>
  <c r="K48" i="8" s="1"/>
  <c r="C47" i="8"/>
  <c r="F47" i="8" s="1"/>
  <c r="G47" i="8" s="1"/>
  <c r="C46" i="8"/>
  <c r="F46" i="8" s="1"/>
  <c r="G46" i="8" s="1"/>
  <c r="C45" i="8"/>
  <c r="N45" i="8" s="1"/>
  <c r="C44" i="8"/>
  <c r="N44" i="8" s="1"/>
  <c r="C43" i="8"/>
  <c r="N43" i="8" s="1"/>
  <c r="C42" i="8"/>
  <c r="J42" i="8" s="1"/>
  <c r="K42" i="8" s="1"/>
  <c r="C41" i="8"/>
  <c r="F41" i="8" s="1"/>
  <c r="G41" i="8" s="1"/>
  <c r="C40" i="8"/>
  <c r="N40" i="8" s="1"/>
  <c r="C39" i="8"/>
  <c r="N39" i="8" s="1"/>
  <c r="C38" i="8"/>
  <c r="N38" i="8" s="1"/>
  <c r="C37" i="8"/>
  <c r="J37" i="8" s="1"/>
  <c r="K37" i="8" s="1"/>
  <c r="C36" i="8"/>
  <c r="F36" i="8" s="1"/>
  <c r="G36" i="8" s="1"/>
  <c r="C35" i="8"/>
  <c r="F35" i="8" s="1"/>
  <c r="G35" i="8" s="1"/>
  <c r="C34" i="8"/>
  <c r="N34" i="8" s="1"/>
  <c r="C33" i="8"/>
  <c r="N33" i="8" s="1"/>
  <c r="C32" i="8"/>
  <c r="N32" i="8" s="1"/>
  <c r="C31" i="8"/>
  <c r="J31" i="8" s="1"/>
  <c r="K31" i="8" s="1"/>
  <c r="C30" i="8"/>
  <c r="F30" i="8" s="1"/>
  <c r="G30" i="8" s="1"/>
  <c r="C29" i="8"/>
  <c r="N29" i="8" s="1"/>
  <c r="C28" i="8"/>
  <c r="N28" i="8" s="1"/>
  <c r="C27" i="8"/>
  <c r="N27" i="8" s="1"/>
  <c r="C26" i="8"/>
  <c r="J26" i="8" s="1"/>
  <c r="K26" i="8" s="1"/>
  <c r="C25" i="8"/>
  <c r="F25" i="8" s="1"/>
  <c r="G25" i="8" s="1"/>
  <c r="C24" i="8"/>
  <c r="F24" i="8" s="1"/>
  <c r="G24" i="8" s="1"/>
  <c r="C23" i="8"/>
  <c r="N23" i="8" s="1"/>
  <c r="C22" i="8"/>
  <c r="N22" i="8" s="1"/>
  <c r="C21" i="8"/>
  <c r="J21" i="8" s="1"/>
  <c r="K21" i="8" s="1"/>
  <c r="C20" i="8"/>
  <c r="J20" i="8" s="1"/>
  <c r="K20" i="8" s="1"/>
  <c r="C19" i="8"/>
  <c r="F19" i="8" s="1"/>
  <c r="G19" i="8" s="1"/>
  <c r="C18" i="8"/>
  <c r="N18" i="8" s="1"/>
  <c r="C17" i="8"/>
  <c r="N17" i="8" s="1"/>
  <c r="C16" i="8"/>
  <c r="N16" i="8" s="1"/>
  <c r="C15" i="8"/>
  <c r="J15" i="8" s="1"/>
  <c r="K15" i="8" s="1"/>
  <c r="C14" i="8"/>
  <c r="F14" i="8" s="1"/>
  <c r="G14" i="8" s="1"/>
  <c r="C13" i="8"/>
  <c r="F13" i="8" s="1"/>
  <c r="G13" i="8" s="1"/>
  <c r="C12" i="8"/>
  <c r="N12" i="8" s="1"/>
  <c r="C11" i="8"/>
  <c r="C10" i="8"/>
  <c r="J10" i="8" s="1"/>
  <c r="K10" i="8" s="1"/>
  <c r="C9" i="8"/>
  <c r="J9" i="8" s="1"/>
  <c r="K9" i="8" s="1"/>
  <c r="C8" i="8"/>
  <c r="F8" i="8" s="1"/>
  <c r="G8" i="8" s="1"/>
  <c r="C7" i="8"/>
  <c r="N7" i="8" s="1"/>
  <c r="C6" i="8"/>
  <c r="N6" i="8" s="1"/>
  <c r="C5" i="8"/>
  <c r="N5" i="8" s="1"/>
  <c r="L102" i="6"/>
  <c r="I102" i="6"/>
  <c r="H102" i="6"/>
  <c r="E102" i="6"/>
  <c r="D102" i="6"/>
  <c r="J101" i="6"/>
  <c r="K101" i="6" s="1"/>
  <c r="F101" i="6"/>
  <c r="G101" i="6" s="1"/>
  <c r="J100" i="6"/>
  <c r="K100" i="6" s="1"/>
  <c r="F100" i="6"/>
  <c r="G100" i="6" s="1"/>
  <c r="J99" i="6"/>
  <c r="K99" i="6" s="1"/>
  <c r="F99" i="6"/>
  <c r="G99" i="6" s="1"/>
  <c r="J98" i="6"/>
  <c r="K98" i="6" s="1"/>
  <c r="F98" i="6"/>
  <c r="G98" i="6" s="1"/>
  <c r="J97" i="6"/>
  <c r="K97" i="6" s="1"/>
  <c r="F97" i="6"/>
  <c r="G97" i="6" s="1"/>
  <c r="J96" i="6"/>
  <c r="K96" i="6" s="1"/>
  <c r="F96" i="6"/>
  <c r="G96" i="6" s="1"/>
  <c r="J95" i="6"/>
  <c r="K95" i="6" s="1"/>
  <c r="F95" i="6"/>
  <c r="G95" i="6" s="1"/>
  <c r="J94" i="6"/>
  <c r="K94" i="6" s="1"/>
  <c r="F94" i="6"/>
  <c r="G94" i="6" s="1"/>
  <c r="J93" i="6"/>
  <c r="K93" i="6" s="1"/>
  <c r="F93" i="6"/>
  <c r="G93" i="6" s="1"/>
  <c r="J92" i="6"/>
  <c r="K92" i="6" s="1"/>
  <c r="F92" i="6"/>
  <c r="G92" i="6" s="1"/>
  <c r="J91" i="6"/>
  <c r="K91" i="6" s="1"/>
  <c r="F91" i="6"/>
  <c r="G91" i="6" s="1"/>
  <c r="J90" i="6"/>
  <c r="K90" i="6" s="1"/>
  <c r="F90" i="6"/>
  <c r="G90" i="6" s="1"/>
  <c r="J89" i="6"/>
  <c r="K89" i="6" s="1"/>
  <c r="F89" i="6"/>
  <c r="G89" i="6" s="1"/>
  <c r="J88" i="6"/>
  <c r="K88" i="6" s="1"/>
  <c r="F88" i="6"/>
  <c r="G88" i="6" s="1"/>
  <c r="J87" i="6"/>
  <c r="K87" i="6" s="1"/>
  <c r="F87" i="6"/>
  <c r="G87" i="6" s="1"/>
  <c r="J86" i="6"/>
  <c r="K86" i="6" s="1"/>
  <c r="F86" i="6"/>
  <c r="G86" i="6" s="1"/>
  <c r="J85" i="6"/>
  <c r="K85" i="6" s="1"/>
  <c r="F85" i="6"/>
  <c r="G85" i="6" s="1"/>
  <c r="J84" i="6"/>
  <c r="K84" i="6" s="1"/>
  <c r="F84" i="6"/>
  <c r="G84" i="6" s="1"/>
  <c r="J83" i="6"/>
  <c r="K83" i="6" s="1"/>
  <c r="F83" i="6"/>
  <c r="G83" i="6" s="1"/>
  <c r="J82" i="6"/>
  <c r="K82" i="6" s="1"/>
  <c r="F82" i="6"/>
  <c r="G82" i="6" s="1"/>
  <c r="J81" i="6"/>
  <c r="K81" i="6" s="1"/>
  <c r="F81" i="6"/>
  <c r="G81" i="6" s="1"/>
  <c r="J80" i="6"/>
  <c r="K80" i="6" s="1"/>
  <c r="F80" i="6"/>
  <c r="G80" i="6" s="1"/>
  <c r="J79" i="6"/>
  <c r="K79" i="6" s="1"/>
  <c r="F79" i="6"/>
  <c r="G79" i="6" s="1"/>
  <c r="J78" i="6"/>
  <c r="K78" i="6" s="1"/>
  <c r="F78" i="6"/>
  <c r="G78" i="6" s="1"/>
  <c r="J77" i="6"/>
  <c r="K77" i="6" s="1"/>
  <c r="F77" i="6"/>
  <c r="G77" i="6" s="1"/>
  <c r="J76" i="6"/>
  <c r="K76" i="6" s="1"/>
  <c r="F76" i="6"/>
  <c r="G76" i="6" s="1"/>
  <c r="J75" i="6"/>
  <c r="K75" i="6" s="1"/>
  <c r="F75" i="6"/>
  <c r="G75" i="6" s="1"/>
  <c r="J74" i="6"/>
  <c r="K74" i="6" s="1"/>
  <c r="F74" i="6"/>
  <c r="G74" i="6" s="1"/>
  <c r="J73" i="6"/>
  <c r="K73" i="6" s="1"/>
  <c r="F73" i="6"/>
  <c r="G73" i="6" s="1"/>
  <c r="J72" i="6"/>
  <c r="K72" i="6" s="1"/>
  <c r="F72" i="6"/>
  <c r="G72" i="6" s="1"/>
  <c r="J71" i="6"/>
  <c r="K71" i="6" s="1"/>
  <c r="F71" i="6"/>
  <c r="G71" i="6" s="1"/>
  <c r="J70" i="6"/>
  <c r="K70" i="6" s="1"/>
  <c r="F70" i="6"/>
  <c r="G70" i="6" s="1"/>
  <c r="J69" i="6"/>
  <c r="K69" i="6" s="1"/>
  <c r="F69" i="6"/>
  <c r="G69" i="6" s="1"/>
  <c r="J68" i="6"/>
  <c r="K68" i="6" s="1"/>
  <c r="F68" i="6"/>
  <c r="G68" i="6" s="1"/>
  <c r="J67" i="6"/>
  <c r="K67" i="6" s="1"/>
  <c r="F67" i="6"/>
  <c r="G67" i="6" s="1"/>
  <c r="J66" i="6"/>
  <c r="K66" i="6" s="1"/>
  <c r="F66" i="6"/>
  <c r="G66" i="6" s="1"/>
  <c r="J65" i="6"/>
  <c r="K65" i="6" s="1"/>
  <c r="F65" i="6"/>
  <c r="G65" i="6" s="1"/>
  <c r="J64" i="6"/>
  <c r="K64" i="6" s="1"/>
  <c r="F64" i="6"/>
  <c r="G64" i="6" s="1"/>
  <c r="J63" i="6"/>
  <c r="K63" i="6" s="1"/>
  <c r="F63" i="6"/>
  <c r="G63" i="6" s="1"/>
  <c r="J62" i="6"/>
  <c r="K62" i="6" s="1"/>
  <c r="F62" i="6"/>
  <c r="G62" i="6" s="1"/>
  <c r="J61" i="6"/>
  <c r="K61" i="6" s="1"/>
  <c r="F61" i="6"/>
  <c r="G61" i="6" s="1"/>
  <c r="J60" i="6"/>
  <c r="K60" i="6" s="1"/>
  <c r="F60" i="6"/>
  <c r="G60" i="6" s="1"/>
  <c r="J59" i="6"/>
  <c r="K59" i="6" s="1"/>
  <c r="F59" i="6"/>
  <c r="G59" i="6" s="1"/>
  <c r="J58" i="6"/>
  <c r="K58" i="6" s="1"/>
  <c r="F58" i="6"/>
  <c r="G58" i="6" s="1"/>
  <c r="J57" i="6"/>
  <c r="F57" i="6"/>
  <c r="G57" i="6" s="1"/>
  <c r="N18" i="6"/>
  <c r="N22" i="6"/>
  <c r="N23" i="6"/>
  <c r="N25" i="6"/>
  <c r="N31" i="6"/>
  <c r="N32" i="6"/>
  <c r="I50" i="6"/>
  <c r="H50" i="6"/>
  <c r="E50" i="6"/>
  <c r="D50" i="6"/>
  <c r="C49" i="6"/>
  <c r="J49" i="6" s="1"/>
  <c r="K49" i="6" s="1"/>
  <c r="C48" i="6"/>
  <c r="J48" i="6" s="1"/>
  <c r="K48" i="6" s="1"/>
  <c r="C47" i="6"/>
  <c r="J47" i="6" s="1"/>
  <c r="K47" i="6" s="1"/>
  <c r="C46" i="6"/>
  <c r="F46" i="6" s="1"/>
  <c r="G46" i="6" s="1"/>
  <c r="C45" i="6"/>
  <c r="F45" i="6" s="1"/>
  <c r="G45" i="6" s="1"/>
  <c r="C44" i="6"/>
  <c r="J44" i="6" s="1"/>
  <c r="K44" i="6" s="1"/>
  <c r="C43" i="6"/>
  <c r="J43" i="6" s="1"/>
  <c r="K43" i="6" s="1"/>
  <c r="C42" i="6"/>
  <c r="J42" i="6" s="1"/>
  <c r="K42" i="6" s="1"/>
  <c r="C41" i="6"/>
  <c r="F41" i="6" s="1"/>
  <c r="G41" i="6" s="1"/>
  <c r="C40" i="6"/>
  <c r="F40" i="6" s="1"/>
  <c r="G40" i="6" s="1"/>
  <c r="C39" i="6"/>
  <c r="F39" i="6" s="1"/>
  <c r="G39" i="6" s="1"/>
  <c r="C38" i="6"/>
  <c r="F38" i="6" s="1"/>
  <c r="G38" i="6" s="1"/>
  <c r="C37" i="6"/>
  <c r="J37" i="6" s="1"/>
  <c r="K37" i="6" s="1"/>
  <c r="C36" i="6"/>
  <c r="J36" i="6" s="1"/>
  <c r="K36" i="6" s="1"/>
  <c r="C35" i="6"/>
  <c r="F35" i="6" s="1"/>
  <c r="G35" i="6" s="1"/>
  <c r="C34" i="6"/>
  <c r="J34" i="6" s="1"/>
  <c r="K34" i="6" s="1"/>
  <c r="C33" i="6"/>
  <c r="J33" i="6" s="1"/>
  <c r="K33" i="6" s="1"/>
  <c r="C32" i="6"/>
  <c r="J32" i="6" s="1"/>
  <c r="K32" i="6" s="1"/>
  <c r="C31" i="6"/>
  <c r="J31" i="6" s="1"/>
  <c r="K31" i="6" s="1"/>
  <c r="C30" i="6"/>
  <c r="J30" i="6" s="1"/>
  <c r="K30" i="6" s="1"/>
  <c r="C29" i="6"/>
  <c r="F29" i="6" s="1"/>
  <c r="G29" i="6" s="1"/>
  <c r="C28" i="6"/>
  <c r="F28" i="6" s="1"/>
  <c r="G28" i="6" s="1"/>
  <c r="C27" i="6"/>
  <c r="F27" i="6" s="1"/>
  <c r="G27" i="6" s="1"/>
  <c r="C26" i="6"/>
  <c r="J26" i="6" s="1"/>
  <c r="K26" i="6" s="1"/>
  <c r="C25" i="6"/>
  <c r="J25" i="6" s="1"/>
  <c r="K25" i="6" s="1"/>
  <c r="C24" i="6"/>
  <c r="F24" i="6" s="1"/>
  <c r="G24" i="6" s="1"/>
  <c r="C23" i="6"/>
  <c r="J23" i="6" s="1"/>
  <c r="K23" i="6" s="1"/>
  <c r="C22" i="6"/>
  <c r="J22" i="6" s="1"/>
  <c r="K22" i="6" s="1"/>
  <c r="C21" i="6"/>
  <c r="J21" i="6" s="1"/>
  <c r="K21" i="6" s="1"/>
  <c r="C20" i="6"/>
  <c r="J20" i="6" s="1"/>
  <c r="K20" i="6" s="1"/>
  <c r="C19" i="6"/>
  <c r="J19" i="6" s="1"/>
  <c r="K19" i="6" s="1"/>
  <c r="C18" i="6"/>
  <c r="F18" i="6" s="1"/>
  <c r="G18" i="6" s="1"/>
  <c r="C17" i="6"/>
  <c r="J17" i="6" s="1"/>
  <c r="K17" i="6" s="1"/>
  <c r="C16" i="6"/>
  <c r="J16" i="6" s="1"/>
  <c r="K16" i="6" s="1"/>
  <c r="C15" i="6"/>
  <c r="J15" i="6" s="1"/>
  <c r="K15" i="6" s="1"/>
  <c r="C14" i="6"/>
  <c r="J14" i="6" s="1"/>
  <c r="K14" i="6" s="1"/>
  <c r="C13" i="6"/>
  <c r="F13" i="6" s="1"/>
  <c r="G13" i="6" s="1"/>
  <c r="C12" i="6"/>
  <c r="J12" i="6" s="1"/>
  <c r="K12" i="6" s="1"/>
  <c r="C11" i="6"/>
  <c r="J11" i="6" s="1"/>
  <c r="K11" i="6" s="1"/>
  <c r="C10" i="6"/>
  <c r="J10" i="6" s="1"/>
  <c r="K10" i="6" s="1"/>
  <c r="C9" i="6"/>
  <c r="J9" i="6" s="1"/>
  <c r="K9" i="6" s="1"/>
  <c r="C8" i="6"/>
  <c r="J8" i="6" s="1"/>
  <c r="K8" i="6" s="1"/>
  <c r="C7" i="6"/>
  <c r="F7" i="6" s="1"/>
  <c r="G7" i="6" s="1"/>
  <c r="C6" i="6"/>
  <c r="J6" i="6" s="1"/>
  <c r="K6" i="6" s="1"/>
  <c r="C5" i="6"/>
  <c r="J5" i="6" s="1"/>
  <c r="J101" i="5"/>
  <c r="I101" i="5"/>
  <c r="F101" i="5"/>
  <c r="E101" i="5"/>
  <c r="D101" i="5"/>
  <c r="C101" i="5"/>
  <c r="K100" i="5"/>
  <c r="L100" i="5" s="1"/>
  <c r="G100" i="5"/>
  <c r="H100" i="5" s="1"/>
  <c r="K99" i="5"/>
  <c r="L99" i="5" s="1"/>
  <c r="G99" i="5"/>
  <c r="H99" i="5" s="1"/>
  <c r="K98" i="5"/>
  <c r="L98" i="5" s="1"/>
  <c r="H98" i="5"/>
  <c r="G98" i="5"/>
  <c r="K97" i="5"/>
  <c r="L97" i="5" s="1"/>
  <c r="G97" i="5"/>
  <c r="H97" i="5" s="1"/>
  <c r="L96" i="5"/>
  <c r="K96" i="5"/>
  <c r="G96" i="5"/>
  <c r="H96" i="5" s="1"/>
  <c r="K95" i="5"/>
  <c r="L95" i="5" s="1"/>
  <c r="G95" i="5"/>
  <c r="H95" i="5" s="1"/>
  <c r="K94" i="5"/>
  <c r="L94" i="5" s="1"/>
  <c r="G94" i="5"/>
  <c r="H94" i="5" s="1"/>
  <c r="K93" i="5"/>
  <c r="L93" i="5" s="1"/>
  <c r="G93" i="5"/>
  <c r="H93" i="5" s="1"/>
  <c r="L92" i="5"/>
  <c r="K92" i="5"/>
  <c r="G92" i="5"/>
  <c r="H92" i="5" s="1"/>
  <c r="K91" i="5"/>
  <c r="L91" i="5" s="1"/>
  <c r="H91" i="5"/>
  <c r="G91" i="5"/>
  <c r="K90" i="5"/>
  <c r="L90" i="5" s="1"/>
  <c r="G90" i="5"/>
  <c r="H90" i="5" s="1"/>
  <c r="K89" i="5"/>
  <c r="L89" i="5" s="1"/>
  <c r="G89" i="5"/>
  <c r="H89" i="5" s="1"/>
  <c r="K88" i="5"/>
  <c r="L88" i="5" s="1"/>
  <c r="G88" i="5"/>
  <c r="H88" i="5" s="1"/>
  <c r="K87" i="5"/>
  <c r="L87" i="5" s="1"/>
  <c r="H87" i="5"/>
  <c r="G87" i="5"/>
  <c r="K86" i="5"/>
  <c r="L86" i="5" s="1"/>
  <c r="G86" i="5"/>
  <c r="H86" i="5" s="1"/>
  <c r="L85" i="5"/>
  <c r="K85" i="5"/>
  <c r="G85" i="5"/>
  <c r="H85" i="5" s="1"/>
  <c r="K84" i="5"/>
  <c r="L84" i="5" s="1"/>
  <c r="G84" i="5"/>
  <c r="H84" i="5" s="1"/>
  <c r="K83" i="5"/>
  <c r="L83" i="5" s="1"/>
  <c r="G83" i="5"/>
  <c r="H83" i="5" s="1"/>
  <c r="K82" i="5"/>
  <c r="L82" i="5" s="1"/>
  <c r="G82" i="5"/>
  <c r="H82" i="5" s="1"/>
  <c r="L81" i="5"/>
  <c r="K81" i="5"/>
  <c r="G81" i="5"/>
  <c r="H81" i="5" s="1"/>
  <c r="K80" i="5"/>
  <c r="L80" i="5" s="1"/>
  <c r="H80" i="5"/>
  <c r="G80" i="5"/>
  <c r="K79" i="5"/>
  <c r="L79" i="5" s="1"/>
  <c r="G79" i="5"/>
  <c r="H79" i="5" s="1"/>
  <c r="K78" i="5"/>
  <c r="L78" i="5" s="1"/>
  <c r="G78" i="5"/>
  <c r="H78" i="5" s="1"/>
  <c r="K77" i="5"/>
  <c r="L77" i="5" s="1"/>
  <c r="G77" i="5"/>
  <c r="H77" i="5" s="1"/>
  <c r="K76" i="5"/>
  <c r="L76" i="5" s="1"/>
  <c r="H76" i="5"/>
  <c r="G76" i="5"/>
  <c r="K75" i="5"/>
  <c r="L75" i="5" s="1"/>
  <c r="G75" i="5"/>
  <c r="H75" i="5" s="1"/>
  <c r="L74" i="5"/>
  <c r="K74" i="5"/>
  <c r="G74" i="5"/>
  <c r="H74" i="5" s="1"/>
  <c r="K73" i="5"/>
  <c r="L73" i="5" s="1"/>
  <c r="G73" i="5"/>
  <c r="H73" i="5" s="1"/>
  <c r="K72" i="5"/>
  <c r="L72" i="5" s="1"/>
  <c r="G72" i="5"/>
  <c r="H72" i="5" s="1"/>
  <c r="K71" i="5"/>
  <c r="L71" i="5" s="1"/>
  <c r="G71" i="5"/>
  <c r="H71" i="5" s="1"/>
  <c r="L70" i="5"/>
  <c r="K70" i="5"/>
  <c r="G70" i="5"/>
  <c r="H70" i="5" s="1"/>
  <c r="K69" i="5"/>
  <c r="L69" i="5" s="1"/>
  <c r="H69" i="5"/>
  <c r="G69" i="5"/>
  <c r="K68" i="5"/>
  <c r="L68" i="5" s="1"/>
  <c r="G68" i="5"/>
  <c r="H68" i="5" s="1"/>
  <c r="K67" i="5"/>
  <c r="L67" i="5" s="1"/>
  <c r="G67" i="5"/>
  <c r="H67" i="5" s="1"/>
  <c r="K66" i="5"/>
  <c r="L66" i="5" s="1"/>
  <c r="G66" i="5"/>
  <c r="H66" i="5" s="1"/>
  <c r="K65" i="5"/>
  <c r="L65" i="5" s="1"/>
  <c r="H65" i="5"/>
  <c r="G65" i="5"/>
  <c r="K64" i="5"/>
  <c r="L64" i="5" s="1"/>
  <c r="G64" i="5"/>
  <c r="H64" i="5" s="1"/>
  <c r="L63" i="5"/>
  <c r="K63" i="5"/>
  <c r="G63" i="5"/>
  <c r="H63" i="5" s="1"/>
  <c r="K62" i="5"/>
  <c r="L62" i="5" s="1"/>
  <c r="G62" i="5"/>
  <c r="H62" i="5" s="1"/>
  <c r="K61" i="5"/>
  <c r="L61" i="5" s="1"/>
  <c r="G61" i="5"/>
  <c r="H61" i="5" s="1"/>
  <c r="K60" i="5"/>
  <c r="L60" i="5" s="1"/>
  <c r="G60" i="5"/>
  <c r="H60" i="5" s="1"/>
  <c r="L59" i="5"/>
  <c r="K59" i="5"/>
  <c r="G59" i="5"/>
  <c r="H59" i="5" s="1"/>
  <c r="K58" i="5"/>
  <c r="L58" i="5" s="1"/>
  <c r="H58" i="5"/>
  <c r="G58" i="5"/>
  <c r="K57" i="5"/>
  <c r="L57" i="5" s="1"/>
  <c r="G57" i="5"/>
  <c r="H57" i="5" s="1"/>
  <c r="K56" i="5"/>
  <c r="K101" i="5" s="1"/>
  <c r="G56" i="5"/>
  <c r="G101" i="5" s="1"/>
  <c r="J49" i="5"/>
  <c r="I49" i="5"/>
  <c r="F49" i="5"/>
  <c r="E49" i="5"/>
  <c r="D49" i="5"/>
  <c r="C49" i="5"/>
  <c r="K48" i="5"/>
  <c r="L48" i="5" s="1"/>
  <c r="G48" i="5"/>
  <c r="H48" i="5" s="1"/>
  <c r="K47" i="5"/>
  <c r="L47" i="5" s="1"/>
  <c r="G47" i="5"/>
  <c r="H47" i="5" s="1"/>
  <c r="K46" i="5"/>
  <c r="L46" i="5" s="1"/>
  <c r="G46" i="5"/>
  <c r="H46" i="5" s="1"/>
  <c r="K45" i="5"/>
  <c r="L45" i="5" s="1"/>
  <c r="G45" i="5"/>
  <c r="H45" i="5" s="1"/>
  <c r="K44" i="5"/>
  <c r="L44" i="5" s="1"/>
  <c r="G44" i="5"/>
  <c r="H44" i="5" s="1"/>
  <c r="K43" i="5"/>
  <c r="L43" i="5" s="1"/>
  <c r="G43" i="5"/>
  <c r="H43" i="5" s="1"/>
  <c r="K42" i="5"/>
  <c r="L42" i="5" s="1"/>
  <c r="G42" i="5"/>
  <c r="H42" i="5" s="1"/>
  <c r="K41" i="5"/>
  <c r="L41" i="5" s="1"/>
  <c r="G41" i="5"/>
  <c r="H41" i="5" s="1"/>
  <c r="K40" i="5"/>
  <c r="L40" i="5" s="1"/>
  <c r="G40" i="5"/>
  <c r="H40" i="5" s="1"/>
  <c r="K39" i="5"/>
  <c r="L39" i="5" s="1"/>
  <c r="G39" i="5"/>
  <c r="H39" i="5" s="1"/>
  <c r="K38" i="5"/>
  <c r="L38" i="5" s="1"/>
  <c r="G38" i="5"/>
  <c r="H38" i="5" s="1"/>
  <c r="K37" i="5"/>
  <c r="L37" i="5" s="1"/>
  <c r="G37" i="5"/>
  <c r="H37" i="5" s="1"/>
  <c r="K36" i="5"/>
  <c r="L36" i="5" s="1"/>
  <c r="G36" i="5"/>
  <c r="H36" i="5" s="1"/>
  <c r="K35" i="5"/>
  <c r="L35" i="5" s="1"/>
  <c r="G35" i="5"/>
  <c r="H35" i="5" s="1"/>
  <c r="K34" i="5"/>
  <c r="L34" i="5" s="1"/>
  <c r="G34" i="5"/>
  <c r="H34" i="5" s="1"/>
  <c r="K33" i="5"/>
  <c r="L33" i="5" s="1"/>
  <c r="G33" i="5"/>
  <c r="H33" i="5" s="1"/>
  <c r="K32" i="5"/>
  <c r="L32" i="5" s="1"/>
  <c r="G32" i="5"/>
  <c r="H32" i="5" s="1"/>
  <c r="K31" i="5"/>
  <c r="L31" i="5" s="1"/>
  <c r="G31" i="5"/>
  <c r="H31" i="5" s="1"/>
  <c r="K30" i="5"/>
  <c r="L30" i="5" s="1"/>
  <c r="G30" i="5"/>
  <c r="H30" i="5" s="1"/>
  <c r="K29" i="5"/>
  <c r="L29" i="5" s="1"/>
  <c r="G29" i="5"/>
  <c r="H29" i="5" s="1"/>
  <c r="K28" i="5"/>
  <c r="L28" i="5" s="1"/>
  <c r="G28" i="5"/>
  <c r="H28" i="5" s="1"/>
  <c r="K27" i="5"/>
  <c r="L27" i="5" s="1"/>
  <c r="G27" i="5"/>
  <c r="H27" i="5" s="1"/>
  <c r="K26" i="5"/>
  <c r="L26" i="5" s="1"/>
  <c r="G26" i="5"/>
  <c r="H26" i="5" s="1"/>
  <c r="K25" i="5"/>
  <c r="L25" i="5" s="1"/>
  <c r="G25" i="5"/>
  <c r="H25" i="5" s="1"/>
  <c r="K24" i="5"/>
  <c r="L24" i="5" s="1"/>
  <c r="G24" i="5"/>
  <c r="H24" i="5" s="1"/>
  <c r="K23" i="5"/>
  <c r="L23" i="5" s="1"/>
  <c r="G23" i="5"/>
  <c r="H23" i="5" s="1"/>
  <c r="K22" i="5"/>
  <c r="L22" i="5" s="1"/>
  <c r="G22" i="5"/>
  <c r="H22" i="5" s="1"/>
  <c r="K21" i="5"/>
  <c r="L21" i="5" s="1"/>
  <c r="G21" i="5"/>
  <c r="H21" i="5" s="1"/>
  <c r="K20" i="5"/>
  <c r="L20" i="5" s="1"/>
  <c r="G20" i="5"/>
  <c r="H20" i="5" s="1"/>
  <c r="K19" i="5"/>
  <c r="L19" i="5" s="1"/>
  <c r="G19" i="5"/>
  <c r="H19" i="5" s="1"/>
  <c r="K18" i="5"/>
  <c r="L18" i="5" s="1"/>
  <c r="G18" i="5"/>
  <c r="H18" i="5" s="1"/>
  <c r="K17" i="5"/>
  <c r="L17" i="5" s="1"/>
  <c r="G17" i="5"/>
  <c r="H17" i="5" s="1"/>
  <c r="K16" i="5"/>
  <c r="L16" i="5" s="1"/>
  <c r="G16" i="5"/>
  <c r="H16" i="5" s="1"/>
  <c r="K15" i="5"/>
  <c r="L15" i="5" s="1"/>
  <c r="G15" i="5"/>
  <c r="H15" i="5" s="1"/>
  <c r="K14" i="5"/>
  <c r="L14" i="5" s="1"/>
  <c r="G14" i="5"/>
  <c r="H14" i="5" s="1"/>
  <c r="K13" i="5"/>
  <c r="L13" i="5" s="1"/>
  <c r="G13" i="5"/>
  <c r="H13" i="5" s="1"/>
  <c r="K12" i="5"/>
  <c r="L12" i="5" s="1"/>
  <c r="G12" i="5"/>
  <c r="H12" i="5" s="1"/>
  <c r="K11" i="5"/>
  <c r="L11" i="5" s="1"/>
  <c r="G11" i="5"/>
  <c r="H11" i="5" s="1"/>
  <c r="K10" i="5"/>
  <c r="L10" i="5" s="1"/>
  <c r="G10" i="5"/>
  <c r="H10" i="5" s="1"/>
  <c r="K9" i="5"/>
  <c r="L9" i="5" s="1"/>
  <c r="G9" i="5"/>
  <c r="H9" i="5" s="1"/>
  <c r="K8" i="5"/>
  <c r="L8" i="5" s="1"/>
  <c r="G8" i="5"/>
  <c r="H8" i="5" s="1"/>
  <c r="K7" i="5"/>
  <c r="L7" i="5" s="1"/>
  <c r="G7" i="5"/>
  <c r="H7" i="5" s="1"/>
  <c r="K6" i="5"/>
  <c r="L6" i="5" s="1"/>
  <c r="G6" i="5"/>
  <c r="H6" i="5" s="1"/>
  <c r="K5" i="5"/>
  <c r="L5" i="5" s="1"/>
  <c r="G5" i="5"/>
  <c r="H5" i="5" s="1"/>
  <c r="K4" i="5"/>
  <c r="K49" i="5" s="1"/>
  <c r="G4" i="5"/>
  <c r="G49" i="5" s="1"/>
  <c r="J251" i="4"/>
  <c r="I251" i="4"/>
  <c r="F251" i="4"/>
  <c r="E251" i="4"/>
  <c r="D251" i="4"/>
  <c r="C251" i="4"/>
  <c r="K250" i="4"/>
  <c r="L250" i="4" s="1"/>
  <c r="H250" i="4"/>
  <c r="G250" i="4"/>
  <c r="K249" i="4"/>
  <c r="L249" i="4" s="1"/>
  <c r="H249" i="4"/>
  <c r="G249" i="4"/>
  <c r="K248" i="4"/>
  <c r="L248" i="4" s="1"/>
  <c r="H248" i="4"/>
  <c r="G248" i="4"/>
  <c r="K247" i="4"/>
  <c r="L247" i="4" s="1"/>
  <c r="G247" i="4"/>
  <c r="H247" i="4" s="1"/>
  <c r="K246" i="4"/>
  <c r="L246" i="4" s="1"/>
  <c r="G246" i="4"/>
  <c r="H246" i="4" s="1"/>
  <c r="K245" i="4"/>
  <c r="L245" i="4" s="1"/>
  <c r="G245" i="4"/>
  <c r="H245" i="4" s="1"/>
  <c r="K244" i="4"/>
  <c r="L244" i="4" s="1"/>
  <c r="G244" i="4"/>
  <c r="H244" i="4" s="1"/>
  <c r="L243" i="4"/>
  <c r="K243" i="4"/>
  <c r="G243" i="4"/>
  <c r="H243" i="4" s="1"/>
  <c r="K242" i="4"/>
  <c r="L242" i="4" s="1"/>
  <c r="G242" i="4"/>
  <c r="H242" i="4" s="1"/>
  <c r="K241" i="4"/>
  <c r="L241" i="4" s="1"/>
  <c r="G241" i="4"/>
  <c r="H241" i="4" s="1"/>
  <c r="L240" i="4"/>
  <c r="K240" i="4"/>
  <c r="G240" i="4"/>
  <c r="H240" i="4" s="1"/>
  <c r="K239" i="4"/>
  <c r="L239" i="4" s="1"/>
  <c r="H239" i="4"/>
  <c r="G239" i="4"/>
  <c r="K238" i="4"/>
  <c r="L238" i="4" s="1"/>
  <c r="H238" i="4"/>
  <c r="G238" i="4"/>
  <c r="K237" i="4"/>
  <c r="L237" i="4" s="1"/>
  <c r="G237" i="4"/>
  <c r="H237" i="4" s="1"/>
  <c r="K236" i="4"/>
  <c r="L236" i="4" s="1"/>
  <c r="G236" i="4"/>
  <c r="H236" i="4" s="1"/>
  <c r="K235" i="4"/>
  <c r="L235" i="4" s="1"/>
  <c r="G235" i="4"/>
  <c r="H235" i="4" s="1"/>
  <c r="K234" i="4"/>
  <c r="L234" i="4" s="1"/>
  <c r="G234" i="4"/>
  <c r="H234" i="4" s="1"/>
  <c r="L233" i="4"/>
  <c r="K233" i="4"/>
  <c r="G233" i="4"/>
  <c r="H233" i="4" s="1"/>
  <c r="L232" i="4"/>
  <c r="K232" i="4"/>
  <c r="G232" i="4"/>
  <c r="H232" i="4" s="1"/>
  <c r="K231" i="4"/>
  <c r="L231" i="4" s="1"/>
  <c r="G231" i="4"/>
  <c r="H231" i="4" s="1"/>
  <c r="K230" i="4"/>
  <c r="L230" i="4" s="1"/>
  <c r="G230" i="4"/>
  <c r="H230" i="4" s="1"/>
  <c r="L229" i="4"/>
  <c r="K229" i="4"/>
  <c r="G229" i="4"/>
  <c r="H229" i="4" s="1"/>
  <c r="K228" i="4"/>
  <c r="L228" i="4" s="1"/>
  <c r="G228" i="4"/>
  <c r="H228" i="4" s="1"/>
  <c r="K227" i="4"/>
  <c r="L227" i="4" s="1"/>
  <c r="H227" i="4"/>
  <c r="G227" i="4"/>
  <c r="K226" i="4"/>
  <c r="L226" i="4" s="1"/>
  <c r="G226" i="4"/>
  <c r="H226" i="4" s="1"/>
  <c r="K225" i="4"/>
  <c r="L225" i="4" s="1"/>
  <c r="G225" i="4"/>
  <c r="H225" i="4" s="1"/>
  <c r="K224" i="4"/>
  <c r="L224" i="4" s="1"/>
  <c r="G224" i="4"/>
  <c r="H224" i="4" s="1"/>
  <c r="K223" i="4"/>
  <c r="L223" i="4" s="1"/>
  <c r="G223" i="4"/>
  <c r="H223" i="4" s="1"/>
  <c r="K222" i="4"/>
  <c r="L222" i="4" s="1"/>
  <c r="G222" i="4"/>
  <c r="H222" i="4" s="1"/>
  <c r="L221" i="4"/>
  <c r="K221" i="4"/>
  <c r="G221" i="4"/>
  <c r="H221" i="4" s="1"/>
  <c r="K220" i="4"/>
  <c r="L220" i="4" s="1"/>
  <c r="G220" i="4"/>
  <c r="H220" i="4" s="1"/>
  <c r="K219" i="4"/>
  <c r="L219" i="4" s="1"/>
  <c r="H219" i="4"/>
  <c r="G219" i="4"/>
  <c r="K218" i="4"/>
  <c r="L218" i="4" s="1"/>
  <c r="G218" i="4"/>
  <c r="H218" i="4" s="1"/>
  <c r="K217" i="4"/>
  <c r="L217" i="4" s="1"/>
  <c r="G217" i="4"/>
  <c r="H217" i="4" s="1"/>
  <c r="K216" i="4"/>
  <c r="L216" i="4" s="1"/>
  <c r="H216" i="4"/>
  <c r="G216" i="4"/>
  <c r="K215" i="4"/>
  <c r="L215" i="4" s="1"/>
  <c r="G215" i="4"/>
  <c r="H215" i="4" s="1"/>
  <c r="K214" i="4"/>
  <c r="L214" i="4" s="1"/>
  <c r="G214" i="4"/>
  <c r="H214" i="4" s="1"/>
  <c r="K213" i="4"/>
  <c r="L213" i="4" s="1"/>
  <c r="G213" i="4"/>
  <c r="H213" i="4" s="1"/>
  <c r="K212" i="4"/>
  <c r="L212" i="4" s="1"/>
  <c r="G212" i="4"/>
  <c r="H212" i="4" s="1"/>
  <c r="K211" i="4"/>
  <c r="L211" i="4" s="1"/>
  <c r="G211" i="4"/>
  <c r="H211" i="4" s="1"/>
  <c r="L210" i="4"/>
  <c r="K210" i="4"/>
  <c r="G210" i="4"/>
  <c r="H210" i="4" s="1"/>
  <c r="K209" i="4"/>
  <c r="L209" i="4" s="1"/>
  <c r="G209" i="4"/>
  <c r="H209" i="4" s="1"/>
  <c r="K208" i="4"/>
  <c r="L208" i="4" s="1"/>
  <c r="H208" i="4"/>
  <c r="G208" i="4"/>
  <c r="L207" i="4"/>
  <c r="K207" i="4"/>
  <c r="G207" i="4"/>
  <c r="H207" i="4" s="1"/>
  <c r="K206" i="4"/>
  <c r="L206" i="4" s="1"/>
  <c r="G206" i="4"/>
  <c r="H206" i="4" s="1"/>
  <c r="K205" i="4"/>
  <c r="L205" i="4" s="1"/>
  <c r="H205" i="4"/>
  <c r="G205" i="4"/>
  <c r="K204" i="4"/>
  <c r="L204" i="4" s="1"/>
  <c r="G204" i="4"/>
  <c r="H204" i="4" s="1"/>
  <c r="K203" i="4"/>
  <c r="L203" i="4" s="1"/>
  <c r="G203" i="4"/>
  <c r="H203" i="4" s="1"/>
  <c r="K202" i="4"/>
  <c r="L202" i="4" s="1"/>
  <c r="G202" i="4"/>
  <c r="H202" i="4" s="1"/>
  <c r="K201" i="4"/>
  <c r="L201" i="4" s="1"/>
  <c r="G201" i="4"/>
  <c r="H201" i="4" s="1"/>
  <c r="K200" i="4"/>
  <c r="L200" i="4" s="1"/>
  <c r="G200" i="4"/>
  <c r="H200" i="4" s="1"/>
  <c r="L199" i="4"/>
  <c r="K199" i="4"/>
  <c r="G199" i="4"/>
  <c r="H199" i="4" s="1"/>
  <c r="K198" i="4"/>
  <c r="L198" i="4" s="1"/>
  <c r="G198" i="4"/>
  <c r="H198" i="4" s="1"/>
  <c r="K197" i="4"/>
  <c r="L197" i="4" s="1"/>
  <c r="G197" i="4"/>
  <c r="H197" i="4" s="1"/>
  <c r="L196" i="4"/>
  <c r="K196" i="4"/>
  <c r="G196" i="4"/>
  <c r="H196" i="4" s="1"/>
  <c r="K195" i="4"/>
  <c r="L195" i="4" s="1"/>
  <c r="G195" i="4"/>
  <c r="H195" i="4" s="1"/>
  <c r="K194" i="4"/>
  <c r="L194" i="4" s="1"/>
  <c r="H194" i="4"/>
  <c r="G194" i="4"/>
  <c r="K193" i="4"/>
  <c r="L193" i="4" s="1"/>
  <c r="G193" i="4"/>
  <c r="H193" i="4" s="1"/>
  <c r="K192" i="4"/>
  <c r="L192" i="4" s="1"/>
  <c r="G192" i="4"/>
  <c r="H192" i="4" s="1"/>
  <c r="K191" i="4"/>
  <c r="L191" i="4" s="1"/>
  <c r="H191" i="4"/>
  <c r="G191" i="4"/>
  <c r="K190" i="4"/>
  <c r="L190" i="4" s="1"/>
  <c r="G190" i="4"/>
  <c r="H190" i="4" s="1"/>
  <c r="K189" i="4"/>
  <c r="L189" i="4" s="1"/>
  <c r="G189" i="4"/>
  <c r="H189" i="4" s="1"/>
  <c r="L188" i="4"/>
  <c r="K188" i="4"/>
  <c r="G188" i="4"/>
  <c r="H188" i="4" s="1"/>
  <c r="K187" i="4"/>
  <c r="L187" i="4" s="1"/>
  <c r="G187" i="4"/>
  <c r="H187" i="4" s="1"/>
  <c r="K186" i="4"/>
  <c r="L186" i="4" s="1"/>
  <c r="H186" i="4"/>
  <c r="G186" i="4"/>
  <c r="K185" i="4"/>
  <c r="L185" i="4" s="1"/>
  <c r="G185" i="4"/>
  <c r="H185" i="4" s="1"/>
  <c r="K184" i="4"/>
  <c r="L184" i="4" s="1"/>
  <c r="G184" i="4"/>
  <c r="H184" i="4" s="1"/>
  <c r="L183" i="4"/>
  <c r="K183" i="4"/>
  <c r="H183" i="4"/>
  <c r="G183" i="4"/>
  <c r="K182" i="4"/>
  <c r="L182" i="4" s="1"/>
  <c r="G182" i="4"/>
  <c r="H182" i="4" s="1"/>
  <c r="K181" i="4"/>
  <c r="L181" i="4" s="1"/>
  <c r="G181" i="4"/>
  <c r="H181" i="4" s="1"/>
  <c r="K180" i="4"/>
  <c r="L180" i="4" s="1"/>
  <c r="G180" i="4"/>
  <c r="H180" i="4" s="1"/>
  <c r="K179" i="4"/>
  <c r="L179" i="4" s="1"/>
  <c r="G179" i="4"/>
  <c r="H179" i="4" s="1"/>
  <c r="K178" i="4"/>
  <c r="L178" i="4" s="1"/>
  <c r="G178" i="4"/>
  <c r="H178" i="4" s="1"/>
  <c r="L177" i="4"/>
  <c r="K177" i="4"/>
  <c r="G177" i="4"/>
  <c r="H177" i="4" s="1"/>
  <c r="L176" i="4"/>
  <c r="K176" i="4"/>
  <c r="G176" i="4"/>
  <c r="H176" i="4" s="1"/>
  <c r="K175" i="4"/>
  <c r="L175" i="4" s="1"/>
  <c r="H175" i="4"/>
  <c r="G175" i="4"/>
  <c r="K174" i="4"/>
  <c r="L174" i="4" s="1"/>
  <c r="G174" i="4"/>
  <c r="H174" i="4" s="1"/>
  <c r="K173" i="4"/>
  <c r="L173" i="4" s="1"/>
  <c r="G173" i="4"/>
  <c r="H173" i="4" s="1"/>
  <c r="L172" i="4"/>
  <c r="K172" i="4"/>
  <c r="H172" i="4"/>
  <c r="G172" i="4"/>
  <c r="K171" i="4"/>
  <c r="L171" i="4" s="1"/>
  <c r="G171" i="4"/>
  <c r="H171" i="4" s="1"/>
  <c r="K170" i="4"/>
  <c r="L170" i="4" s="1"/>
  <c r="G170" i="4"/>
  <c r="H170" i="4" s="1"/>
  <c r="L169" i="4"/>
  <c r="K169" i="4"/>
  <c r="G169" i="4"/>
  <c r="H169" i="4" s="1"/>
  <c r="K168" i="4"/>
  <c r="L168" i="4" s="1"/>
  <c r="G168" i="4"/>
  <c r="H168" i="4" s="1"/>
  <c r="K167" i="4"/>
  <c r="L167" i="4" s="1"/>
  <c r="G167" i="4"/>
  <c r="H167" i="4" s="1"/>
  <c r="L166" i="4"/>
  <c r="K166" i="4"/>
  <c r="G166" i="4"/>
  <c r="H166" i="4" s="1"/>
  <c r="L165" i="4"/>
  <c r="K165" i="4"/>
  <c r="G165" i="4"/>
  <c r="H165" i="4" s="1"/>
  <c r="K164" i="4"/>
  <c r="L164" i="4" s="1"/>
  <c r="G164" i="4"/>
  <c r="H164" i="4" s="1"/>
  <c r="K163" i="4"/>
  <c r="L163" i="4" s="1"/>
  <c r="G163" i="4"/>
  <c r="H163" i="4" s="1"/>
  <c r="K162" i="4"/>
  <c r="L162" i="4" s="1"/>
  <c r="H162" i="4"/>
  <c r="G162" i="4"/>
  <c r="K161" i="4"/>
  <c r="L161" i="4" s="1"/>
  <c r="H161" i="4"/>
  <c r="G161" i="4"/>
  <c r="K160" i="4"/>
  <c r="L160" i="4" s="1"/>
  <c r="G160" i="4"/>
  <c r="H160" i="4" s="1"/>
  <c r="K159" i="4"/>
  <c r="L159" i="4" s="1"/>
  <c r="G159" i="4"/>
  <c r="H159" i="4" s="1"/>
  <c r="K158" i="4"/>
  <c r="L158" i="4" s="1"/>
  <c r="G158" i="4"/>
  <c r="H158" i="4" s="1"/>
  <c r="K157" i="4"/>
  <c r="L157" i="4" s="1"/>
  <c r="G157" i="4"/>
  <c r="H157" i="4" s="1"/>
  <c r="K156" i="4"/>
  <c r="L156" i="4" s="1"/>
  <c r="G156" i="4"/>
  <c r="H156" i="4" s="1"/>
  <c r="L155" i="4"/>
  <c r="K155" i="4"/>
  <c r="G155" i="4"/>
  <c r="H155" i="4" s="1"/>
  <c r="K154" i="4"/>
  <c r="L154" i="4" s="1"/>
  <c r="G154" i="4"/>
  <c r="H154" i="4" s="1"/>
  <c r="K153" i="4"/>
  <c r="L153" i="4" s="1"/>
  <c r="G153" i="4"/>
  <c r="H153" i="4" s="1"/>
  <c r="K152" i="4"/>
  <c r="L152" i="4" s="1"/>
  <c r="G152" i="4"/>
  <c r="H152" i="4" s="1"/>
  <c r="K151" i="4"/>
  <c r="L151" i="4" s="1"/>
  <c r="H151" i="4"/>
  <c r="G151" i="4"/>
  <c r="L150" i="4"/>
  <c r="K150" i="4"/>
  <c r="H150" i="4"/>
  <c r="G150" i="4"/>
  <c r="K149" i="4"/>
  <c r="L149" i="4" s="1"/>
  <c r="G149" i="4"/>
  <c r="H149" i="4" s="1"/>
  <c r="K148" i="4"/>
  <c r="L148" i="4" s="1"/>
  <c r="G148" i="4"/>
  <c r="H148" i="4" s="1"/>
  <c r="K147" i="4"/>
  <c r="L147" i="4" s="1"/>
  <c r="G147" i="4"/>
  <c r="H147" i="4" s="1"/>
  <c r="K146" i="4"/>
  <c r="L146" i="4" s="1"/>
  <c r="G146" i="4"/>
  <c r="H146" i="4" s="1"/>
  <c r="K145" i="4"/>
  <c r="L145" i="4" s="1"/>
  <c r="G145" i="4"/>
  <c r="H145" i="4" s="1"/>
  <c r="L144" i="4"/>
  <c r="K144" i="4"/>
  <c r="G144" i="4"/>
  <c r="H144" i="4" s="1"/>
  <c r="L143" i="4"/>
  <c r="K143" i="4"/>
  <c r="G143" i="4"/>
  <c r="H143" i="4" s="1"/>
  <c r="K142" i="4"/>
  <c r="L142" i="4" s="1"/>
  <c r="G142" i="4"/>
  <c r="H142" i="4" s="1"/>
  <c r="K141" i="4"/>
  <c r="L141" i="4" s="1"/>
  <c r="G141" i="4"/>
  <c r="H141" i="4" s="1"/>
  <c r="K140" i="4"/>
  <c r="L140" i="4" s="1"/>
  <c r="G140" i="4"/>
  <c r="H140" i="4" s="1"/>
  <c r="L139" i="4"/>
  <c r="K139" i="4"/>
  <c r="H139" i="4"/>
  <c r="G139" i="4"/>
  <c r="K138" i="4"/>
  <c r="L138" i="4" s="1"/>
  <c r="G138" i="4"/>
  <c r="H138" i="4" s="1"/>
  <c r="K137" i="4"/>
  <c r="L137" i="4" s="1"/>
  <c r="G137" i="4"/>
  <c r="H137" i="4" s="1"/>
  <c r="K136" i="4"/>
  <c r="L136" i="4" s="1"/>
  <c r="G136" i="4"/>
  <c r="H136" i="4" s="1"/>
  <c r="K135" i="4"/>
  <c r="L135" i="4" s="1"/>
  <c r="G135" i="4"/>
  <c r="H135" i="4" s="1"/>
  <c r="K134" i="4"/>
  <c r="L134" i="4" s="1"/>
  <c r="H134" i="4"/>
  <c r="G134" i="4"/>
  <c r="L133" i="4"/>
  <c r="K133" i="4"/>
  <c r="G133" i="4"/>
  <c r="H133" i="4" s="1"/>
  <c r="L132" i="4"/>
  <c r="K132" i="4"/>
  <c r="G132" i="4"/>
  <c r="H132" i="4" s="1"/>
  <c r="K131" i="4"/>
  <c r="G131" i="4"/>
  <c r="G251" i="4" s="1"/>
  <c r="J124" i="4"/>
  <c r="I124" i="4"/>
  <c r="F124" i="4"/>
  <c r="E124" i="4"/>
  <c r="D124" i="4"/>
  <c r="C124" i="4"/>
  <c r="K123" i="4"/>
  <c r="L123" i="4" s="1"/>
  <c r="H123" i="4"/>
  <c r="G123" i="4"/>
  <c r="K122" i="4"/>
  <c r="L122" i="4" s="1"/>
  <c r="G122" i="4"/>
  <c r="H122" i="4" s="1"/>
  <c r="K121" i="4"/>
  <c r="L121" i="4" s="1"/>
  <c r="G121" i="4"/>
  <c r="H121" i="4" s="1"/>
  <c r="K120" i="4"/>
  <c r="L120" i="4" s="1"/>
  <c r="G120" i="4"/>
  <c r="H120" i="4" s="1"/>
  <c r="K119" i="4"/>
  <c r="L119" i="4" s="1"/>
  <c r="G119" i="4"/>
  <c r="H119" i="4" s="1"/>
  <c r="L118" i="4"/>
  <c r="K118" i="4"/>
  <c r="G118" i="4"/>
  <c r="H118" i="4" s="1"/>
  <c r="K117" i="4"/>
  <c r="L117" i="4" s="1"/>
  <c r="G117" i="4"/>
  <c r="H117" i="4" s="1"/>
  <c r="K116" i="4"/>
  <c r="L116" i="4" s="1"/>
  <c r="G116" i="4"/>
  <c r="H116" i="4" s="1"/>
  <c r="L115" i="4"/>
  <c r="K115" i="4"/>
  <c r="G115" i="4"/>
  <c r="H115" i="4" s="1"/>
  <c r="K114" i="4"/>
  <c r="L114" i="4" s="1"/>
  <c r="H114" i="4"/>
  <c r="G114" i="4"/>
  <c r="K113" i="4"/>
  <c r="L113" i="4" s="1"/>
  <c r="H113" i="4"/>
  <c r="G113" i="4"/>
  <c r="K112" i="4"/>
  <c r="L112" i="4" s="1"/>
  <c r="G112" i="4"/>
  <c r="H112" i="4" s="1"/>
  <c r="K111" i="4"/>
  <c r="L111" i="4" s="1"/>
  <c r="G111" i="4"/>
  <c r="H111" i="4" s="1"/>
  <c r="K110" i="4"/>
  <c r="L110" i="4" s="1"/>
  <c r="G110" i="4"/>
  <c r="H110" i="4" s="1"/>
  <c r="K109" i="4"/>
  <c r="L109" i="4" s="1"/>
  <c r="G109" i="4"/>
  <c r="H109" i="4" s="1"/>
  <c r="L108" i="4"/>
  <c r="K108" i="4"/>
  <c r="G108" i="4"/>
  <c r="H108" i="4" s="1"/>
  <c r="L107" i="4"/>
  <c r="K107" i="4"/>
  <c r="G107" i="4"/>
  <c r="H107" i="4" s="1"/>
  <c r="K106" i="4"/>
  <c r="L106" i="4" s="1"/>
  <c r="G106" i="4"/>
  <c r="H106" i="4" s="1"/>
  <c r="K105" i="4"/>
  <c r="L105" i="4" s="1"/>
  <c r="G105" i="4"/>
  <c r="H105" i="4" s="1"/>
  <c r="L104" i="4"/>
  <c r="K104" i="4"/>
  <c r="G104" i="4"/>
  <c r="H104" i="4" s="1"/>
  <c r="K103" i="4"/>
  <c r="L103" i="4" s="1"/>
  <c r="G103" i="4"/>
  <c r="H103" i="4" s="1"/>
  <c r="K102" i="4"/>
  <c r="L102" i="4" s="1"/>
  <c r="H102" i="4"/>
  <c r="G102" i="4"/>
  <c r="K101" i="4"/>
  <c r="L101" i="4" s="1"/>
  <c r="G101" i="4"/>
  <c r="H101" i="4" s="1"/>
  <c r="K100" i="4"/>
  <c r="L100" i="4" s="1"/>
  <c r="G100" i="4"/>
  <c r="H100" i="4" s="1"/>
  <c r="K99" i="4"/>
  <c r="L99" i="4" s="1"/>
  <c r="G99" i="4"/>
  <c r="H99" i="4" s="1"/>
  <c r="K98" i="4"/>
  <c r="L98" i="4" s="1"/>
  <c r="G98" i="4"/>
  <c r="H98" i="4" s="1"/>
  <c r="K97" i="4"/>
  <c r="L97" i="4" s="1"/>
  <c r="G97" i="4"/>
  <c r="H97" i="4" s="1"/>
  <c r="L96" i="4"/>
  <c r="K96" i="4"/>
  <c r="G96" i="4"/>
  <c r="H96" i="4" s="1"/>
  <c r="K95" i="4"/>
  <c r="L95" i="4" s="1"/>
  <c r="G95" i="4"/>
  <c r="H95" i="4" s="1"/>
  <c r="K94" i="4"/>
  <c r="L94" i="4" s="1"/>
  <c r="H94" i="4"/>
  <c r="G94" i="4"/>
  <c r="K93" i="4"/>
  <c r="L93" i="4" s="1"/>
  <c r="G93" i="4"/>
  <c r="H93" i="4" s="1"/>
  <c r="K92" i="4"/>
  <c r="L92" i="4" s="1"/>
  <c r="G92" i="4"/>
  <c r="H92" i="4" s="1"/>
  <c r="K91" i="4"/>
  <c r="L91" i="4" s="1"/>
  <c r="H91" i="4"/>
  <c r="G91" i="4"/>
  <c r="K90" i="4"/>
  <c r="L90" i="4" s="1"/>
  <c r="G90" i="4"/>
  <c r="H90" i="4" s="1"/>
  <c r="K89" i="4"/>
  <c r="L89" i="4" s="1"/>
  <c r="G89" i="4"/>
  <c r="H89" i="4" s="1"/>
  <c r="K88" i="4"/>
  <c r="L88" i="4" s="1"/>
  <c r="G88" i="4"/>
  <c r="H88" i="4" s="1"/>
  <c r="K87" i="4"/>
  <c r="L87" i="4" s="1"/>
  <c r="G87" i="4"/>
  <c r="H87" i="4" s="1"/>
  <c r="K86" i="4"/>
  <c r="L86" i="4" s="1"/>
  <c r="G86" i="4"/>
  <c r="H86" i="4" s="1"/>
  <c r="L85" i="4"/>
  <c r="K85" i="4"/>
  <c r="G85" i="4"/>
  <c r="H85" i="4" s="1"/>
  <c r="K84" i="4"/>
  <c r="L84" i="4" s="1"/>
  <c r="G84" i="4"/>
  <c r="H84" i="4" s="1"/>
  <c r="K83" i="4"/>
  <c r="L83" i="4" s="1"/>
  <c r="H83" i="4"/>
  <c r="G83" i="4"/>
  <c r="L82" i="4"/>
  <c r="K82" i="4"/>
  <c r="G82" i="4"/>
  <c r="H82" i="4" s="1"/>
  <c r="K81" i="4"/>
  <c r="L81" i="4" s="1"/>
  <c r="G81" i="4"/>
  <c r="H81" i="4" s="1"/>
  <c r="K80" i="4"/>
  <c r="L80" i="4" s="1"/>
  <c r="H80" i="4"/>
  <c r="G80" i="4"/>
  <c r="K79" i="4"/>
  <c r="L79" i="4" s="1"/>
  <c r="G79" i="4"/>
  <c r="H79" i="4" s="1"/>
  <c r="K78" i="4"/>
  <c r="L78" i="4" s="1"/>
  <c r="G78" i="4"/>
  <c r="H78" i="4" s="1"/>
  <c r="K77" i="4"/>
  <c r="L77" i="4" s="1"/>
  <c r="G77" i="4"/>
  <c r="H77" i="4" s="1"/>
  <c r="K76" i="4"/>
  <c r="L76" i="4" s="1"/>
  <c r="G76" i="4"/>
  <c r="H76" i="4" s="1"/>
  <c r="K75" i="4"/>
  <c r="L75" i="4" s="1"/>
  <c r="G75" i="4"/>
  <c r="H75" i="4" s="1"/>
  <c r="L74" i="4"/>
  <c r="K74" i="4"/>
  <c r="G74" i="4"/>
  <c r="H74" i="4" s="1"/>
  <c r="K73" i="4"/>
  <c r="L73" i="4" s="1"/>
  <c r="G73" i="4"/>
  <c r="H73" i="4" s="1"/>
  <c r="K72" i="4"/>
  <c r="L72" i="4" s="1"/>
  <c r="G72" i="4"/>
  <c r="H72" i="4" s="1"/>
  <c r="L71" i="4"/>
  <c r="K71" i="4"/>
  <c r="G71" i="4"/>
  <c r="H71" i="4" s="1"/>
  <c r="K70" i="4"/>
  <c r="L70" i="4" s="1"/>
  <c r="G70" i="4"/>
  <c r="H70" i="4" s="1"/>
  <c r="K69" i="4"/>
  <c r="L69" i="4" s="1"/>
  <c r="H69" i="4"/>
  <c r="G69" i="4"/>
  <c r="K68" i="4"/>
  <c r="L68" i="4" s="1"/>
  <c r="G68" i="4"/>
  <c r="H68" i="4" s="1"/>
  <c r="K67" i="4"/>
  <c r="L67" i="4" s="1"/>
  <c r="G67" i="4"/>
  <c r="H67" i="4" s="1"/>
  <c r="K66" i="4"/>
  <c r="L66" i="4" s="1"/>
  <c r="H66" i="4"/>
  <c r="G66" i="4"/>
  <c r="K65" i="4"/>
  <c r="L65" i="4" s="1"/>
  <c r="G65" i="4"/>
  <c r="H65" i="4" s="1"/>
  <c r="K64" i="4"/>
  <c r="L64" i="4" s="1"/>
  <c r="G64" i="4"/>
  <c r="H64" i="4" s="1"/>
  <c r="L63" i="4"/>
  <c r="K63" i="4"/>
  <c r="G63" i="4"/>
  <c r="H63" i="4" s="1"/>
  <c r="K62" i="4"/>
  <c r="L62" i="4" s="1"/>
  <c r="G62" i="4"/>
  <c r="H62" i="4" s="1"/>
  <c r="K61" i="4"/>
  <c r="L61" i="4" s="1"/>
  <c r="H61" i="4"/>
  <c r="G61" i="4"/>
  <c r="K60" i="4"/>
  <c r="L60" i="4" s="1"/>
  <c r="G60" i="4"/>
  <c r="H60" i="4" s="1"/>
  <c r="K59" i="4"/>
  <c r="L59" i="4" s="1"/>
  <c r="G59" i="4"/>
  <c r="H59" i="4" s="1"/>
  <c r="L58" i="4"/>
  <c r="K58" i="4"/>
  <c r="H58" i="4"/>
  <c r="G58" i="4"/>
  <c r="K57" i="4"/>
  <c r="L57" i="4" s="1"/>
  <c r="G57" i="4"/>
  <c r="H57" i="4" s="1"/>
  <c r="K56" i="4"/>
  <c r="L56" i="4" s="1"/>
  <c r="G56" i="4"/>
  <c r="H56" i="4" s="1"/>
  <c r="K55" i="4"/>
  <c r="L55" i="4" s="1"/>
  <c r="G55" i="4"/>
  <c r="H55" i="4" s="1"/>
  <c r="K54" i="4"/>
  <c r="L54" i="4" s="1"/>
  <c r="G54" i="4"/>
  <c r="H54" i="4" s="1"/>
  <c r="K53" i="4"/>
  <c r="L53" i="4" s="1"/>
  <c r="G53" i="4"/>
  <c r="H53" i="4" s="1"/>
  <c r="L52" i="4"/>
  <c r="K52" i="4"/>
  <c r="G52" i="4"/>
  <c r="H52" i="4" s="1"/>
  <c r="L51" i="4"/>
  <c r="K51" i="4"/>
  <c r="G51" i="4"/>
  <c r="H51" i="4" s="1"/>
  <c r="K50" i="4"/>
  <c r="L50" i="4" s="1"/>
  <c r="H50" i="4"/>
  <c r="G50" i="4"/>
  <c r="K49" i="4"/>
  <c r="L49" i="4" s="1"/>
  <c r="G49" i="4"/>
  <c r="H49" i="4" s="1"/>
  <c r="K48" i="4"/>
  <c r="L48" i="4" s="1"/>
  <c r="G48" i="4"/>
  <c r="H48" i="4" s="1"/>
  <c r="L47" i="4"/>
  <c r="K47" i="4"/>
  <c r="H47" i="4"/>
  <c r="G47" i="4"/>
  <c r="K46" i="4"/>
  <c r="L46" i="4" s="1"/>
  <c r="G46" i="4"/>
  <c r="H46" i="4" s="1"/>
  <c r="K45" i="4"/>
  <c r="L45" i="4" s="1"/>
  <c r="G45" i="4"/>
  <c r="H45" i="4" s="1"/>
  <c r="L44" i="4"/>
  <c r="K44" i="4"/>
  <c r="G44" i="4"/>
  <c r="H44" i="4" s="1"/>
  <c r="K43" i="4"/>
  <c r="L43" i="4" s="1"/>
  <c r="G43" i="4"/>
  <c r="H43" i="4" s="1"/>
  <c r="K42" i="4"/>
  <c r="L42" i="4" s="1"/>
  <c r="G42" i="4"/>
  <c r="H42" i="4" s="1"/>
  <c r="L41" i="4"/>
  <c r="K41" i="4"/>
  <c r="G41" i="4"/>
  <c r="H41" i="4" s="1"/>
  <c r="L40" i="4"/>
  <c r="K40" i="4"/>
  <c r="G40" i="4"/>
  <c r="H40" i="4" s="1"/>
  <c r="K39" i="4"/>
  <c r="L39" i="4" s="1"/>
  <c r="G39" i="4"/>
  <c r="H39" i="4" s="1"/>
  <c r="K38" i="4"/>
  <c r="L38" i="4" s="1"/>
  <c r="G38" i="4"/>
  <c r="H38" i="4" s="1"/>
  <c r="K37" i="4"/>
  <c r="L37" i="4" s="1"/>
  <c r="H37" i="4"/>
  <c r="G37" i="4"/>
  <c r="K36" i="4"/>
  <c r="L36" i="4" s="1"/>
  <c r="H36" i="4"/>
  <c r="G36" i="4"/>
  <c r="K35" i="4"/>
  <c r="L35" i="4" s="1"/>
  <c r="G35" i="4"/>
  <c r="H35" i="4" s="1"/>
  <c r="K34" i="4"/>
  <c r="L34" i="4" s="1"/>
  <c r="G34" i="4"/>
  <c r="H34" i="4" s="1"/>
  <c r="K33" i="4"/>
  <c r="L33" i="4" s="1"/>
  <c r="G33" i="4"/>
  <c r="H33" i="4" s="1"/>
  <c r="K32" i="4"/>
  <c r="L32" i="4" s="1"/>
  <c r="G32" i="4"/>
  <c r="H32" i="4" s="1"/>
  <c r="K31" i="4"/>
  <c r="L31" i="4" s="1"/>
  <c r="G31" i="4"/>
  <c r="H31" i="4" s="1"/>
  <c r="L30" i="4"/>
  <c r="K30" i="4"/>
  <c r="G30" i="4"/>
  <c r="H30" i="4" s="1"/>
  <c r="K29" i="4"/>
  <c r="L29" i="4" s="1"/>
  <c r="G29" i="4"/>
  <c r="H29" i="4" s="1"/>
  <c r="K28" i="4"/>
  <c r="L28" i="4" s="1"/>
  <c r="G28" i="4"/>
  <c r="H28" i="4" s="1"/>
  <c r="K27" i="4"/>
  <c r="L27" i="4" s="1"/>
  <c r="G27" i="4"/>
  <c r="H27" i="4" s="1"/>
  <c r="K26" i="4"/>
  <c r="L26" i="4" s="1"/>
  <c r="G26" i="4"/>
  <c r="H26" i="4" s="1"/>
  <c r="K25" i="4"/>
  <c r="L25" i="4" s="1"/>
  <c r="H25" i="4"/>
  <c r="G25" i="4"/>
  <c r="K24" i="4"/>
  <c r="L24" i="4" s="1"/>
  <c r="G24" i="4"/>
  <c r="H24" i="4" s="1"/>
  <c r="K23" i="4"/>
  <c r="L23" i="4" s="1"/>
  <c r="G23" i="4"/>
  <c r="H23" i="4" s="1"/>
  <c r="K22" i="4"/>
  <c r="L22" i="4" s="1"/>
  <c r="G22" i="4"/>
  <c r="H22" i="4" s="1"/>
  <c r="K21" i="4"/>
  <c r="L21" i="4" s="1"/>
  <c r="G21" i="4"/>
  <c r="H21" i="4" s="1"/>
  <c r="K20" i="4"/>
  <c r="L20" i="4" s="1"/>
  <c r="G20" i="4"/>
  <c r="H20" i="4" s="1"/>
  <c r="L19" i="4"/>
  <c r="K19" i="4"/>
  <c r="G19" i="4"/>
  <c r="H19" i="4" s="1"/>
  <c r="K18" i="4"/>
  <c r="L18" i="4" s="1"/>
  <c r="G18" i="4"/>
  <c r="H18" i="4" s="1"/>
  <c r="K17" i="4"/>
  <c r="L17" i="4" s="1"/>
  <c r="H17" i="4"/>
  <c r="G17" i="4"/>
  <c r="K16" i="4"/>
  <c r="L16" i="4" s="1"/>
  <c r="G16" i="4"/>
  <c r="H16" i="4" s="1"/>
  <c r="K15" i="4"/>
  <c r="L15" i="4" s="1"/>
  <c r="G15" i="4"/>
  <c r="H15" i="4" s="1"/>
  <c r="K14" i="4"/>
  <c r="L14" i="4" s="1"/>
  <c r="H14" i="4"/>
  <c r="G14" i="4"/>
  <c r="K13" i="4"/>
  <c r="L13" i="4" s="1"/>
  <c r="H13" i="4"/>
  <c r="G13" i="4"/>
  <c r="K12" i="4"/>
  <c r="L12" i="4" s="1"/>
  <c r="G12" i="4"/>
  <c r="H12" i="4" s="1"/>
  <c r="K11" i="4"/>
  <c r="L11" i="4" s="1"/>
  <c r="G11" i="4"/>
  <c r="H11" i="4" s="1"/>
  <c r="K10" i="4"/>
  <c r="L10" i="4" s="1"/>
  <c r="G10" i="4"/>
  <c r="H10" i="4" s="1"/>
  <c r="K9" i="4"/>
  <c r="L9" i="4" s="1"/>
  <c r="G9" i="4"/>
  <c r="H9" i="4" s="1"/>
  <c r="L8" i="4"/>
  <c r="K8" i="4"/>
  <c r="G8" i="4"/>
  <c r="H8" i="4" s="1"/>
  <c r="K7" i="4"/>
  <c r="L7" i="4" s="1"/>
  <c r="G7" i="4"/>
  <c r="H7" i="4" s="1"/>
  <c r="K6" i="4"/>
  <c r="L6" i="4" s="1"/>
  <c r="G6" i="4"/>
  <c r="H6" i="4" s="1"/>
  <c r="K5" i="4"/>
  <c r="L5" i="4" s="1"/>
  <c r="G5" i="4"/>
  <c r="H5" i="4" s="1"/>
  <c r="K4" i="4"/>
  <c r="G4" i="4"/>
  <c r="H4" i="4" s="1"/>
  <c r="J249" i="3"/>
  <c r="I249" i="3"/>
  <c r="F249" i="3"/>
  <c r="E249" i="3"/>
  <c r="D249" i="3"/>
  <c r="C249" i="3"/>
  <c r="K248" i="3"/>
  <c r="L248" i="3" s="1"/>
  <c r="G248" i="3"/>
  <c r="H248" i="3" s="1"/>
  <c r="K247" i="3"/>
  <c r="L247" i="3" s="1"/>
  <c r="G247" i="3"/>
  <c r="H247" i="3" s="1"/>
  <c r="K246" i="3"/>
  <c r="L246" i="3" s="1"/>
  <c r="G246" i="3"/>
  <c r="H246" i="3" s="1"/>
  <c r="K245" i="3"/>
  <c r="L245" i="3" s="1"/>
  <c r="G245" i="3"/>
  <c r="H245" i="3" s="1"/>
  <c r="K244" i="3"/>
  <c r="L244" i="3" s="1"/>
  <c r="H244" i="3"/>
  <c r="G244" i="3"/>
  <c r="K243" i="3"/>
  <c r="L243" i="3" s="1"/>
  <c r="G243" i="3"/>
  <c r="H243" i="3" s="1"/>
  <c r="K242" i="3"/>
  <c r="L242" i="3" s="1"/>
  <c r="G242" i="3"/>
  <c r="H242" i="3" s="1"/>
  <c r="K241" i="3"/>
  <c r="L241" i="3" s="1"/>
  <c r="G241" i="3"/>
  <c r="H241" i="3" s="1"/>
  <c r="L240" i="3"/>
  <c r="K240" i="3"/>
  <c r="G240" i="3"/>
  <c r="H240" i="3" s="1"/>
  <c r="K239" i="3"/>
  <c r="L239" i="3" s="1"/>
  <c r="G239" i="3"/>
  <c r="H239" i="3" s="1"/>
  <c r="L238" i="3"/>
  <c r="K238" i="3"/>
  <c r="G238" i="3"/>
  <c r="H238" i="3" s="1"/>
  <c r="K237" i="3"/>
  <c r="L237" i="3" s="1"/>
  <c r="G237" i="3"/>
  <c r="H237" i="3" s="1"/>
  <c r="K236" i="3"/>
  <c r="L236" i="3" s="1"/>
  <c r="G236" i="3"/>
  <c r="H236" i="3" s="1"/>
  <c r="K235" i="3"/>
  <c r="L235" i="3" s="1"/>
  <c r="H235" i="3"/>
  <c r="G235" i="3"/>
  <c r="K234" i="3"/>
  <c r="L234" i="3" s="1"/>
  <c r="G234" i="3"/>
  <c r="H234" i="3" s="1"/>
  <c r="K233" i="3"/>
  <c r="L233" i="3" s="1"/>
  <c r="H233" i="3"/>
  <c r="G233" i="3"/>
  <c r="K232" i="3"/>
  <c r="L232" i="3" s="1"/>
  <c r="G232" i="3"/>
  <c r="H232" i="3" s="1"/>
  <c r="K231" i="3"/>
  <c r="L231" i="3" s="1"/>
  <c r="G231" i="3"/>
  <c r="H231" i="3" s="1"/>
  <c r="K230" i="3"/>
  <c r="L230" i="3" s="1"/>
  <c r="G230" i="3"/>
  <c r="H230" i="3" s="1"/>
  <c r="K229" i="3"/>
  <c r="L229" i="3" s="1"/>
  <c r="G229" i="3"/>
  <c r="H229" i="3" s="1"/>
  <c r="K228" i="3"/>
  <c r="L228" i="3" s="1"/>
  <c r="G228" i="3"/>
  <c r="H228" i="3" s="1"/>
  <c r="L227" i="3"/>
  <c r="K227" i="3"/>
  <c r="G227" i="3"/>
  <c r="H227" i="3" s="1"/>
  <c r="K226" i="3"/>
  <c r="L226" i="3" s="1"/>
  <c r="G226" i="3"/>
  <c r="H226" i="3" s="1"/>
  <c r="K225" i="3"/>
  <c r="L225" i="3" s="1"/>
  <c r="G225" i="3"/>
  <c r="H225" i="3" s="1"/>
  <c r="K224" i="3"/>
  <c r="L224" i="3" s="1"/>
  <c r="G224" i="3"/>
  <c r="H224" i="3" s="1"/>
  <c r="K223" i="3"/>
  <c r="L223" i="3" s="1"/>
  <c r="G223" i="3"/>
  <c r="H223" i="3" s="1"/>
  <c r="K222" i="3"/>
  <c r="L222" i="3" s="1"/>
  <c r="H222" i="3"/>
  <c r="G222" i="3"/>
  <c r="K221" i="3"/>
  <c r="L221" i="3" s="1"/>
  <c r="G221" i="3"/>
  <c r="H221" i="3" s="1"/>
  <c r="K220" i="3"/>
  <c r="L220" i="3" s="1"/>
  <c r="G220" i="3"/>
  <c r="H220" i="3" s="1"/>
  <c r="K219" i="3"/>
  <c r="L219" i="3" s="1"/>
  <c r="H219" i="3"/>
  <c r="G219" i="3"/>
  <c r="K218" i="3"/>
  <c r="L218" i="3" s="1"/>
  <c r="G218" i="3"/>
  <c r="H218" i="3" s="1"/>
  <c r="K217" i="3"/>
  <c r="L217" i="3" s="1"/>
  <c r="G217" i="3"/>
  <c r="H217" i="3" s="1"/>
  <c r="L216" i="3"/>
  <c r="K216" i="3"/>
  <c r="G216" i="3"/>
  <c r="H216" i="3" s="1"/>
  <c r="K215" i="3"/>
  <c r="L215" i="3" s="1"/>
  <c r="G215" i="3"/>
  <c r="H215" i="3" s="1"/>
  <c r="K214" i="3"/>
  <c r="L214" i="3" s="1"/>
  <c r="G214" i="3"/>
  <c r="H214" i="3" s="1"/>
  <c r="K213" i="3"/>
  <c r="L213" i="3" s="1"/>
  <c r="H213" i="3"/>
  <c r="G213" i="3"/>
  <c r="K212" i="3"/>
  <c r="L212" i="3" s="1"/>
  <c r="G212" i="3"/>
  <c r="H212" i="3" s="1"/>
  <c r="K211" i="3"/>
  <c r="L211" i="3" s="1"/>
  <c r="H211" i="3"/>
  <c r="G211" i="3"/>
  <c r="K210" i="3"/>
  <c r="L210" i="3" s="1"/>
  <c r="G210" i="3"/>
  <c r="H210" i="3" s="1"/>
  <c r="K209" i="3"/>
  <c r="L209" i="3" s="1"/>
  <c r="G209" i="3"/>
  <c r="H209" i="3" s="1"/>
  <c r="K208" i="3"/>
  <c r="L208" i="3" s="1"/>
  <c r="H208" i="3"/>
  <c r="G208" i="3"/>
  <c r="K207" i="3"/>
  <c r="L207" i="3" s="1"/>
  <c r="G207" i="3"/>
  <c r="H207" i="3" s="1"/>
  <c r="K206" i="3"/>
  <c r="L206" i="3" s="1"/>
  <c r="G206" i="3"/>
  <c r="H206" i="3" s="1"/>
  <c r="L205" i="3"/>
  <c r="K205" i="3"/>
  <c r="G205" i="3"/>
  <c r="H205" i="3" s="1"/>
  <c r="K204" i="3"/>
  <c r="L204" i="3" s="1"/>
  <c r="G204" i="3"/>
  <c r="H204" i="3" s="1"/>
  <c r="K203" i="3"/>
  <c r="L203" i="3" s="1"/>
  <c r="G203" i="3"/>
  <c r="H203" i="3" s="1"/>
  <c r="L202" i="3"/>
  <c r="K202" i="3"/>
  <c r="G202" i="3"/>
  <c r="H202" i="3" s="1"/>
  <c r="K201" i="3"/>
  <c r="L201" i="3" s="1"/>
  <c r="G201" i="3"/>
  <c r="H201" i="3" s="1"/>
  <c r="K200" i="3"/>
  <c r="L200" i="3" s="1"/>
  <c r="H200" i="3"/>
  <c r="G200" i="3"/>
  <c r="K199" i="3"/>
  <c r="L199" i="3" s="1"/>
  <c r="G199" i="3"/>
  <c r="H199" i="3" s="1"/>
  <c r="K198" i="3"/>
  <c r="L198" i="3" s="1"/>
  <c r="G198" i="3"/>
  <c r="H198" i="3" s="1"/>
  <c r="K197" i="3"/>
  <c r="L197" i="3" s="1"/>
  <c r="G197" i="3"/>
  <c r="H197" i="3" s="1"/>
  <c r="K196" i="3"/>
  <c r="L196" i="3" s="1"/>
  <c r="G196" i="3"/>
  <c r="H196" i="3" s="1"/>
  <c r="K195" i="3"/>
  <c r="L195" i="3" s="1"/>
  <c r="G195" i="3"/>
  <c r="H195" i="3" s="1"/>
  <c r="L194" i="3"/>
  <c r="K194" i="3"/>
  <c r="G194" i="3"/>
  <c r="H194" i="3" s="1"/>
  <c r="K193" i="3"/>
  <c r="L193" i="3" s="1"/>
  <c r="G193" i="3"/>
  <c r="H193" i="3" s="1"/>
  <c r="K192" i="3"/>
  <c r="L192" i="3" s="1"/>
  <c r="G192" i="3"/>
  <c r="H192" i="3" s="1"/>
  <c r="K191" i="3"/>
  <c r="L191" i="3" s="1"/>
  <c r="G191" i="3"/>
  <c r="H191" i="3" s="1"/>
  <c r="K190" i="3"/>
  <c r="L190" i="3" s="1"/>
  <c r="G190" i="3"/>
  <c r="H190" i="3" s="1"/>
  <c r="K189" i="3"/>
  <c r="L189" i="3" s="1"/>
  <c r="H189" i="3"/>
  <c r="G189" i="3"/>
  <c r="K188" i="3"/>
  <c r="L188" i="3" s="1"/>
  <c r="G188" i="3"/>
  <c r="H188" i="3" s="1"/>
  <c r="K187" i="3"/>
  <c r="L187" i="3" s="1"/>
  <c r="G187" i="3"/>
  <c r="H187" i="3" s="1"/>
  <c r="L186" i="3"/>
  <c r="K186" i="3"/>
  <c r="G186" i="3"/>
  <c r="H186" i="3" s="1"/>
  <c r="K185" i="3"/>
  <c r="L185" i="3" s="1"/>
  <c r="G185" i="3"/>
  <c r="H185" i="3" s="1"/>
  <c r="K184" i="3"/>
  <c r="L184" i="3" s="1"/>
  <c r="G184" i="3"/>
  <c r="H184" i="3" s="1"/>
  <c r="L183" i="3"/>
  <c r="K183" i="3"/>
  <c r="G183" i="3"/>
  <c r="H183" i="3" s="1"/>
  <c r="K182" i="3"/>
  <c r="L182" i="3" s="1"/>
  <c r="G182" i="3"/>
  <c r="H182" i="3" s="1"/>
  <c r="K181" i="3"/>
  <c r="L181" i="3" s="1"/>
  <c r="G181" i="3"/>
  <c r="H181" i="3" s="1"/>
  <c r="L180" i="3"/>
  <c r="K180" i="3"/>
  <c r="G180" i="3"/>
  <c r="H180" i="3" s="1"/>
  <c r="K179" i="3"/>
  <c r="L179" i="3" s="1"/>
  <c r="G179" i="3"/>
  <c r="H179" i="3" s="1"/>
  <c r="K178" i="3"/>
  <c r="L178" i="3" s="1"/>
  <c r="H178" i="3"/>
  <c r="G178" i="3"/>
  <c r="K177" i="3"/>
  <c r="L177" i="3" s="1"/>
  <c r="G177" i="3"/>
  <c r="H177" i="3" s="1"/>
  <c r="K176" i="3"/>
  <c r="L176" i="3" s="1"/>
  <c r="G176" i="3"/>
  <c r="H176" i="3" s="1"/>
  <c r="L175" i="3"/>
  <c r="K175" i="3"/>
  <c r="G175" i="3"/>
  <c r="H175" i="3" s="1"/>
  <c r="K174" i="3"/>
  <c r="L174" i="3" s="1"/>
  <c r="G174" i="3"/>
  <c r="H174" i="3" s="1"/>
  <c r="K173" i="3"/>
  <c r="L173" i="3" s="1"/>
  <c r="G173" i="3"/>
  <c r="H173" i="3" s="1"/>
  <c r="L172" i="3"/>
  <c r="K172" i="3"/>
  <c r="G172" i="3"/>
  <c r="H172" i="3" s="1"/>
  <c r="K171" i="3"/>
  <c r="L171" i="3" s="1"/>
  <c r="G171" i="3"/>
  <c r="H171" i="3" s="1"/>
  <c r="K170" i="3"/>
  <c r="L170" i="3" s="1"/>
  <c r="H170" i="3"/>
  <c r="G170" i="3"/>
  <c r="K169" i="3"/>
  <c r="L169" i="3" s="1"/>
  <c r="G169" i="3"/>
  <c r="H169" i="3" s="1"/>
  <c r="K168" i="3"/>
  <c r="L168" i="3" s="1"/>
  <c r="G168" i="3"/>
  <c r="H168" i="3" s="1"/>
  <c r="K167" i="3"/>
  <c r="L167" i="3" s="1"/>
  <c r="H167" i="3"/>
  <c r="G167" i="3"/>
  <c r="K166" i="3"/>
  <c r="L166" i="3" s="1"/>
  <c r="G166" i="3"/>
  <c r="H166" i="3" s="1"/>
  <c r="K165" i="3"/>
  <c r="L165" i="3" s="1"/>
  <c r="G165" i="3"/>
  <c r="H165" i="3" s="1"/>
  <c r="K164" i="3"/>
  <c r="L164" i="3" s="1"/>
  <c r="G164" i="3"/>
  <c r="H164" i="3" s="1"/>
  <c r="K163" i="3"/>
  <c r="L163" i="3" s="1"/>
  <c r="G163" i="3"/>
  <c r="H163" i="3" s="1"/>
  <c r="K162" i="3"/>
  <c r="L162" i="3" s="1"/>
  <c r="G162" i="3"/>
  <c r="H162" i="3" s="1"/>
  <c r="L161" i="3"/>
  <c r="K161" i="3"/>
  <c r="G161" i="3"/>
  <c r="H161" i="3" s="1"/>
  <c r="K160" i="3"/>
  <c r="L160" i="3" s="1"/>
  <c r="G160" i="3"/>
  <c r="H160" i="3" s="1"/>
  <c r="K159" i="3"/>
  <c r="L159" i="3" s="1"/>
  <c r="G159" i="3"/>
  <c r="H159" i="3" s="1"/>
  <c r="K158" i="3"/>
  <c r="L158" i="3" s="1"/>
  <c r="G158" i="3"/>
  <c r="H158" i="3" s="1"/>
  <c r="K157" i="3"/>
  <c r="L157" i="3" s="1"/>
  <c r="G157" i="3"/>
  <c r="H157" i="3" s="1"/>
  <c r="K156" i="3"/>
  <c r="L156" i="3" s="1"/>
  <c r="H156" i="3"/>
  <c r="G156" i="3"/>
  <c r="K155" i="3"/>
  <c r="L155" i="3" s="1"/>
  <c r="G155" i="3"/>
  <c r="H155" i="3" s="1"/>
  <c r="K154" i="3"/>
  <c r="L154" i="3" s="1"/>
  <c r="G154" i="3"/>
  <c r="H154" i="3" s="1"/>
  <c r="K153" i="3"/>
  <c r="L153" i="3" s="1"/>
  <c r="G153" i="3"/>
  <c r="H153" i="3" s="1"/>
  <c r="K152" i="3"/>
  <c r="L152" i="3" s="1"/>
  <c r="G152" i="3"/>
  <c r="H152" i="3" s="1"/>
  <c r="K151" i="3"/>
  <c r="L151" i="3" s="1"/>
  <c r="G151" i="3"/>
  <c r="H151" i="3" s="1"/>
  <c r="L150" i="3"/>
  <c r="K150" i="3"/>
  <c r="G150" i="3"/>
  <c r="H150" i="3" s="1"/>
  <c r="K149" i="3"/>
  <c r="L149" i="3" s="1"/>
  <c r="G149" i="3"/>
  <c r="H149" i="3" s="1"/>
  <c r="K148" i="3"/>
  <c r="L148" i="3" s="1"/>
  <c r="H148" i="3"/>
  <c r="G148" i="3"/>
  <c r="K147" i="3"/>
  <c r="L147" i="3" s="1"/>
  <c r="G147" i="3"/>
  <c r="H147" i="3" s="1"/>
  <c r="K146" i="3"/>
  <c r="L146" i="3" s="1"/>
  <c r="G146" i="3"/>
  <c r="H146" i="3" s="1"/>
  <c r="K145" i="3"/>
  <c r="L145" i="3" s="1"/>
  <c r="H145" i="3"/>
  <c r="G145" i="3"/>
  <c r="K144" i="3"/>
  <c r="L144" i="3" s="1"/>
  <c r="G144" i="3"/>
  <c r="H144" i="3" s="1"/>
  <c r="K143" i="3"/>
  <c r="L143" i="3" s="1"/>
  <c r="G143" i="3"/>
  <c r="H143" i="3" s="1"/>
  <c r="K142" i="3"/>
  <c r="L142" i="3" s="1"/>
  <c r="G142" i="3"/>
  <c r="H142" i="3" s="1"/>
  <c r="K141" i="3"/>
  <c r="L141" i="3" s="1"/>
  <c r="G141" i="3"/>
  <c r="H141" i="3" s="1"/>
  <c r="K140" i="3"/>
  <c r="L140" i="3" s="1"/>
  <c r="G140" i="3"/>
  <c r="H140" i="3" s="1"/>
  <c r="L139" i="3"/>
  <c r="K139" i="3"/>
  <c r="G139" i="3"/>
  <c r="H139" i="3" s="1"/>
  <c r="K138" i="3"/>
  <c r="L138" i="3" s="1"/>
  <c r="G138" i="3"/>
  <c r="H138" i="3" s="1"/>
  <c r="K137" i="3"/>
  <c r="L137" i="3" s="1"/>
  <c r="G137" i="3"/>
  <c r="H137" i="3" s="1"/>
  <c r="K136" i="3"/>
  <c r="L136" i="3" s="1"/>
  <c r="H136" i="3"/>
  <c r="G136" i="3"/>
  <c r="K135" i="3"/>
  <c r="L135" i="3" s="1"/>
  <c r="G135" i="3"/>
  <c r="H135" i="3" s="1"/>
  <c r="K134" i="3"/>
  <c r="L134" i="3" s="1"/>
  <c r="H134" i="3"/>
  <c r="G134" i="3"/>
  <c r="K133" i="3"/>
  <c r="L133" i="3" s="1"/>
  <c r="G133" i="3"/>
  <c r="H133" i="3" s="1"/>
  <c r="K132" i="3"/>
  <c r="L132" i="3" s="1"/>
  <c r="G132" i="3"/>
  <c r="H132" i="3" s="1"/>
  <c r="K131" i="3"/>
  <c r="L131" i="3" s="1"/>
  <c r="H131" i="3"/>
  <c r="G131" i="3"/>
  <c r="K130" i="3"/>
  <c r="L130" i="3" s="1"/>
  <c r="G130" i="3"/>
  <c r="H130" i="3" s="1"/>
  <c r="K129" i="3"/>
  <c r="G129" i="3"/>
  <c r="H129" i="3" s="1"/>
  <c r="J124" i="3"/>
  <c r="I124" i="3"/>
  <c r="F124" i="3"/>
  <c r="E124" i="3"/>
  <c r="D124" i="3"/>
  <c r="C124" i="3"/>
  <c r="K123" i="3"/>
  <c r="L123" i="3" s="1"/>
  <c r="G123" i="3"/>
  <c r="H123" i="3" s="1"/>
  <c r="K122" i="3"/>
  <c r="L122" i="3" s="1"/>
  <c r="H122" i="3"/>
  <c r="G122" i="3"/>
  <c r="K121" i="3"/>
  <c r="L121" i="3" s="1"/>
  <c r="G121" i="3"/>
  <c r="H121" i="3" s="1"/>
  <c r="K120" i="3"/>
  <c r="L120" i="3" s="1"/>
  <c r="G120" i="3"/>
  <c r="H120" i="3" s="1"/>
  <c r="K119" i="3"/>
  <c r="L119" i="3" s="1"/>
  <c r="G119" i="3"/>
  <c r="H119" i="3" s="1"/>
  <c r="K118" i="3"/>
  <c r="L118" i="3" s="1"/>
  <c r="G118" i="3"/>
  <c r="H118" i="3" s="1"/>
  <c r="L117" i="3"/>
  <c r="K117" i="3"/>
  <c r="G117" i="3"/>
  <c r="H117" i="3" s="1"/>
  <c r="K116" i="3"/>
  <c r="L116" i="3" s="1"/>
  <c r="G116" i="3"/>
  <c r="H116" i="3" s="1"/>
  <c r="K115" i="3"/>
  <c r="L115" i="3" s="1"/>
  <c r="G115" i="3"/>
  <c r="H115" i="3" s="1"/>
  <c r="K114" i="3"/>
  <c r="L114" i="3" s="1"/>
  <c r="H114" i="3"/>
  <c r="G114" i="3"/>
  <c r="K113" i="3"/>
  <c r="L113" i="3" s="1"/>
  <c r="G113" i="3"/>
  <c r="H113" i="3" s="1"/>
  <c r="K112" i="3"/>
  <c r="L112" i="3" s="1"/>
  <c r="G112" i="3"/>
  <c r="H112" i="3" s="1"/>
  <c r="K111" i="3"/>
  <c r="L111" i="3" s="1"/>
  <c r="G111" i="3"/>
  <c r="H111" i="3" s="1"/>
  <c r="L110" i="3"/>
  <c r="K110" i="3"/>
  <c r="G110" i="3"/>
  <c r="H110" i="3" s="1"/>
  <c r="K109" i="3"/>
  <c r="L109" i="3" s="1"/>
  <c r="G109" i="3"/>
  <c r="H109" i="3" s="1"/>
  <c r="K108" i="3"/>
  <c r="L108" i="3" s="1"/>
  <c r="G108" i="3"/>
  <c r="H108" i="3" s="1"/>
  <c r="K107" i="3"/>
  <c r="L107" i="3" s="1"/>
  <c r="G107" i="3"/>
  <c r="H107" i="3" s="1"/>
  <c r="K106" i="3"/>
  <c r="L106" i="3" s="1"/>
  <c r="G106" i="3"/>
  <c r="H106" i="3" s="1"/>
  <c r="K105" i="3"/>
  <c r="L105" i="3" s="1"/>
  <c r="G105" i="3"/>
  <c r="H105" i="3" s="1"/>
  <c r="K104" i="3"/>
  <c r="L104" i="3" s="1"/>
  <c r="G104" i="3"/>
  <c r="H104" i="3" s="1"/>
  <c r="K103" i="3"/>
  <c r="L103" i="3" s="1"/>
  <c r="G103" i="3"/>
  <c r="H103" i="3" s="1"/>
  <c r="K102" i="3"/>
  <c r="L102" i="3" s="1"/>
  <c r="G102" i="3"/>
  <c r="H102" i="3" s="1"/>
  <c r="K101" i="3"/>
  <c r="L101" i="3" s="1"/>
  <c r="G101" i="3"/>
  <c r="H101" i="3" s="1"/>
  <c r="K100" i="3"/>
  <c r="L100" i="3" s="1"/>
  <c r="G100" i="3"/>
  <c r="H100" i="3" s="1"/>
  <c r="K99" i="3"/>
  <c r="L99" i="3" s="1"/>
  <c r="G99" i="3"/>
  <c r="H99" i="3" s="1"/>
  <c r="K98" i="3"/>
  <c r="L98" i="3" s="1"/>
  <c r="G98" i="3"/>
  <c r="H98" i="3" s="1"/>
  <c r="K97" i="3"/>
  <c r="L97" i="3" s="1"/>
  <c r="G97" i="3"/>
  <c r="H97" i="3" s="1"/>
  <c r="K96" i="3"/>
  <c r="L96" i="3" s="1"/>
  <c r="G96" i="3"/>
  <c r="H96" i="3" s="1"/>
  <c r="K95" i="3"/>
  <c r="L95" i="3" s="1"/>
  <c r="G95" i="3"/>
  <c r="H95" i="3" s="1"/>
  <c r="K94" i="3"/>
  <c r="L94" i="3" s="1"/>
  <c r="G94" i="3"/>
  <c r="H94" i="3" s="1"/>
  <c r="L93" i="3"/>
  <c r="K93" i="3"/>
  <c r="G93" i="3"/>
  <c r="H93" i="3" s="1"/>
  <c r="K92" i="3"/>
  <c r="L92" i="3" s="1"/>
  <c r="G92" i="3"/>
  <c r="H92" i="3" s="1"/>
  <c r="K91" i="3"/>
  <c r="L91" i="3" s="1"/>
  <c r="G91" i="3"/>
  <c r="H91" i="3" s="1"/>
  <c r="K90" i="3"/>
  <c r="L90" i="3" s="1"/>
  <c r="G90" i="3"/>
  <c r="H90" i="3" s="1"/>
  <c r="K89" i="3"/>
  <c r="L89" i="3" s="1"/>
  <c r="H89" i="3"/>
  <c r="G89" i="3"/>
  <c r="K88" i="3"/>
  <c r="L88" i="3" s="1"/>
  <c r="G88" i="3"/>
  <c r="H88" i="3" s="1"/>
  <c r="K87" i="3"/>
  <c r="L87" i="3" s="1"/>
  <c r="G87" i="3"/>
  <c r="H87" i="3" s="1"/>
  <c r="K86" i="3"/>
  <c r="L86" i="3" s="1"/>
  <c r="G86" i="3"/>
  <c r="H86" i="3" s="1"/>
  <c r="K85" i="3"/>
  <c r="L85" i="3" s="1"/>
  <c r="G85" i="3"/>
  <c r="H85" i="3" s="1"/>
  <c r="K84" i="3"/>
  <c r="L84" i="3" s="1"/>
  <c r="G84" i="3"/>
  <c r="H84" i="3" s="1"/>
  <c r="K83" i="3"/>
  <c r="L83" i="3" s="1"/>
  <c r="G83" i="3"/>
  <c r="H83" i="3" s="1"/>
  <c r="K82" i="3"/>
  <c r="L82" i="3" s="1"/>
  <c r="G82" i="3"/>
  <c r="H82" i="3" s="1"/>
  <c r="K81" i="3"/>
  <c r="L81" i="3" s="1"/>
  <c r="G81" i="3"/>
  <c r="H81" i="3" s="1"/>
  <c r="K80" i="3"/>
  <c r="L80" i="3" s="1"/>
  <c r="G80" i="3"/>
  <c r="H80" i="3" s="1"/>
  <c r="K79" i="3"/>
  <c r="L79" i="3" s="1"/>
  <c r="G79" i="3"/>
  <c r="H79" i="3" s="1"/>
  <c r="K78" i="3"/>
  <c r="L78" i="3" s="1"/>
  <c r="G78" i="3"/>
  <c r="H78" i="3" s="1"/>
  <c r="K77" i="3"/>
  <c r="L77" i="3" s="1"/>
  <c r="G77" i="3"/>
  <c r="H77" i="3" s="1"/>
  <c r="K76" i="3"/>
  <c r="L76" i="3" s="1"/>
  <c r="G76" i="3"/>
  <c r="H76" i="3" s="1"/>
  <c r="K75" i="3"/>
  <c r="L75" i="3" s="1"/>
  <c r="G75" i="3"/>
  <c r="H75" i="3" s="1"/>
  <c r="K74" i="3"/>
  <c r="L74" i="3" s="1"/>
  <c r="G74" i="3"/>
  <c r="H74" i="3" s="1"/>
  <c r="K73" i="3"/>
  <c r="L73" i="3" s="1"/>
  <c r="G73" i="3"/>
  <c r="H73" i="3" s="1"/>
  <c r="K72" i="3"/>
  <c r="L72" i="3" s="1"/>
  <c r="H72" i="3"/>
  <c r="G72" i="3"/>
  <c r="K71" i="3"/>
  <c r="L71" i="3" s="1"/>
  <c r="G71" i="3"/>
  <c r="H71" i="3" s="1"/>
  <c r="K70" i="3"/>
  <c r="L70" i="3" s="1"/>
  <c r="G70" i="3"/>
  <c r="H70" i="3" s="1"/>
  <c r="K69" i="3"/>
  <c r="L69" i="3" s="1"/>
  <c r="G69" i="3"/>
  <c r="H69" i="3" s="1"/>
  <c r="K68" i="3"/>
  <c r="L68" i="3" s="1"/>
  <c r="G68" i="3"/>
  <c r="H68" i="3" s="1"/>
  <c r="K67" i="3"/>
  <c r="L67" i="3" s="1"/>
  <c r="H67" i="3"/>
  <c r="G67" i="3"/>
  <c r="K66" i="3"/>
  <c r="L66" i="3" s="1"/>
  <c r="G66" i="3"/>
  <c r="H66" i="3" s="1"/>
  <c r="K65" i="3"/>
  <c r="L65" i="3" s="1"/>
  <c r="G65" i="3"/>
  <c r="H65" i="3" s="1"/>
  <c r="K64" i="3"/>
  <c r="L64" i="3" s="1"/>
  <c r="G64" i="3"/>
  <c r="H64" i="3" s="1"/>
  <c r="K63" i="3"/>
  <c r="L63" i="3" s="1"/>
  <c r="G63" i="3"/>
  <c r="H63" i="3" s="1"/>
  <c r="K62" i="3"/>
  <c r="L62" i="3" s="1"/>
  <c r="G62" i="3"/>
  <c r="H62" i="3" s="1"/>
  <c r="K61" i="3"/>
  <c r="L61" i="3" s="1"/>
  <c r="G61" i="3"/>
  <c r="H61" i="3" s="1"/>
  <c r="K60" i="3"/>
  <c r="L60" i="3" s="1"/>
  <c r="G60" i="3"/>
  <c r="H60" i="3" s="1"/>
  <c r="K59" i="3"/>
  <c r="L59" i="3" s="1"/>
  <c r="G59" i="3"/>
  <c r="H59" i="3" s="1"/>
  <c r="K58" i="3"/>
  <c r="L58" i="3" s="1"/>
  <c r="G58" i="3"/>
  <c r="H58" i="3" s="1"/>
  <c r="K57" i="3"/>
  <c r="L57" i="3" s="1"/>
  <c r="G57" i="3"/>
  <c r="H57" i="3" s="1"/>
  <c r="K56" i="3"/>
  <c r="L56" i="3" s="1"/>
  <c r="G56" i="3"/>
  <c r="H56" i="3" s="1"/>
  <c r="K55" i="3"/>
  <c r="L55" i="3" s="1"/>
  <c r="H55" i="3"/>
  <c r="G55" i="3"/>
  <c r="K54" i="3"/>
  <c r="L54" i="3" s="1"/>
  <c r="G54" i="3"/>
  <c r="H54" i="3" s="1"/>
  <c r="K53" i="3"/>
  <c r="L53" i="3" s="1"/>
  <c r="G53" i="3"/>
  <c r="H53" i="3" s="1"/>
  <c r="K52" i="3"/>
  <c r="L52" i="3" s="1"/>
  <c r="G52" i="3"/>
  <c r="H52" i="3" s="1"/>
  <c r="K51" i="3"/>
  <c r="L51" i="3" s="1"/>
  <c r="G51" i="3"/>
  <c r="H51" i="3" s="1"/>
  <c r="K50" i="3"/>
  <c r="L50" i="3" s="1"/>
  <c r="H50" i="3"/>
  <c r="G50" i="3"/>
  <c r="K49" i="3"/>
  <c r="L49" i="3" s="1"/>
  <c r="G49" i="3"/>
  <c r="H49" i="3" s="1"/>
  <c r="K48" i="3"/>
  <c r="L48" i="3" s="1"/>
  <c r="G48" i="3"/>
  <c r="H48" i="3" s="1"/>
  <c r="K47" i="3"/>
  <c r="L47" i="3" s="1"/>
  <c r="G47" i="3"/>
  <c r="H47" i="3" s="1"/>
  <c r="K46" i="3"/>
  <c r="L46" i="3" s="1"/>
  <c r="G46" i="3"/>
  <c r="H46" i="3" s="1"/>
  <c r="K45" i="3"/>
  <c r="L45" i="3" s="1"/>
  <c r="G45" i="3"/>
  <c r="H45" i="3" s="1"/>
  <c r="K44" i="3"/>
  <c r="L44" i="3" s="1"/>
  <c r="G44" i="3"/>
  <c r="H44" i="3" s="1"/>
  <c r="K43" i="3"/>
  <c r="L43" i="3" s="1"/>
  <c r="G43" i="3"/>
  <c r="H43" i="3" s="1"/>
  <c r="K42" i="3"/>
  <c r="L42" i="3" s="1"/>
  <c r="G42" i="3"/>
  <c r="H42" i="3" s="1"/>
  <c r="K41" i="3"/>
  <c r="L41" i="3" s="1"/>
  <c r="G41" i="3"/>
  <c r="H41" i="3" s="1"/>
  <c r="K40" i="3"/>
  <c r="L40" i="3" s="1"/>
  <c r="G40" i="3"/>
  <c r="H40" i="3" s="1"/>
  <c r="K39" i="3"/>
  <c r="L39" i="3" s="1"/>
  <c r="G39" i="3"/>
  <c r="H39" i="3" s="1"/>
  <c r="K38" i="3"/>
  <c r="L38" i="3" s="1"/>
  <c r="G38" i="3"/>
  <c r="H38" i="3" s="1"/>
  <c r="K37" i="3"/>
  <c r="L37" i="3" s="1"/>
  <c r="G37" i="3"/>
  <c r="H37" i="3" s="1"/>
  <c r="K36" i="3"/>
  <c r="L36" i="3" s="1"/>
  <c r="G36" i="3"/>
  <c r="H36" i="3" s="1"/>
  <c r="K35" i="3"/>
  <c r="L35" i="3" s="1"/>
  <c r="G35" i="3"/>
  <c r="H35" i="3" s="1"/>
  <c r="K34" i="3"/>
  <c r="L34" i="3" s="1"/>
  <c r="G34" i="3"/>
  <c r="H34" i="3" s="1"/>
  <c r="K33" i="3"/>
  <c r="L33" i="3" s="1"/>
  <c r="H33" i="3"/>
  <c r="G33" i="3"/>
  <c r="K32" i="3"/>
  <c r="L32" i="3" s="1"/>
  <c r="G32" i="3"/>
  <c r="H32" i="3" s="1"/>
  <c r="K31" i="3"/>
  <c r="L31" i="3" s="1"/>
  <c r="G31" i="3"/>
  <c r="H31" i="3" s="1"/>
  <c r="K30" i="3"/>
  <c r="L30" i="3" s="1"/>
  <c r="G30" i="3"/>
  <c r="H30" i="3" s="1"/>
  <c r="K29" i="3"/>
  <c r="L29" i="3" s="1"/>
  <c r="G29" i="3"/>
  <c r="H29" i="3" s="1"/>
  <c r="L28" i="3"/>
  <c r="K28" i="3"/>
  <c r="G28" i="3"/>
  <c r="H28" i="3" s="1"/>
  <c r="K27" i="3"/>
  <c r="L27" i="3" s="1"/>
  <c r="G27" i="3"/>
  <c r="H27" i="3" s="1"/>
  <c r="K26" i="3"/>
  <c r="L26" i="3" s="1"/>
  <c r="G26" i="3"/>
  <c r="H26" i="3" s="1"/>
  <c r="K25" i="3"/>
  <c r="L25" i="3" s="1"/>
  <c r="G25" i="3"/>
  <c r="H25" i="3" s="1"/>
  <c r="K24" i="3"/>
  <c r="L24" i="3" s="1"/>
  <c r="G24" i="3"/>
  <c r="H24" i="3" s="1"/>
  <c r="K23" i="3"/>
  <c r="L23" i="3" s="1"/>
  <c r="G23" i="3"/>
  <c r="H23" i="3" s="1"/>
  <c r="K22" i="3"/>
  <c r="L22" i="3" s="1"/>
  <c r="G22" i="3"/>
  <c r="H22" i="3" s="1"/>
  <c r="K21" i="3"/>
  <c r="L21" i="3" s="1"/>
  <c r="G21" i="3"/>
  <c r="H21" i="3" s="1"/>
  <c r="K20" i="3"/>
  <c r="L20" i="3" s="1"/>
  <c r="G20" i="3"/>
  <c r="H20" i="3" s="1"/>
  <c r="K19" i="3"/>
  <c r="L19" i="3" s="1"/>
  <c r="G19" i="3"/>
  <c r="H19" i="3" s="1"/>
  <c r="K18" i="3"/>
  <c r="L18" i="3" s="1"/>
  <c r="G18" i="3"/>
  <c r="H18" i="3" s="1"/>
  <c r="K17" i="3"/>
  <c r="L17" i="3" s="1"/>
  <c r="G17" i="3"/>
  <c r="H17" i="3" s="1"/>
  <c r="K16" i="3"/>
  <c r="L16" i="3" s="1"/>
  <c r="G16" i="3"/>
  <c r="H16" i="3" s="1"/>
  <c r="K15" i="3"/>
  <c r="L15" i="3" s="1"/>
  <c r="G15" i="3"/>
  <c r="H15" i="3" s="1"/>
  <c r="K14" i="3"/>
  <c r="L14" i="3" s="1"/>
  <c r="G14" i="3"/>
  <c r="H14" i="3" s="1"/>
  <c r="K13" i="3"/>
  <c r="L13" i="3" s="1"/>
  <c r="G13" i="3"/>
  <c r="H13" i="3" s="1"/>
  <c r="K12" i="3"/>
  <c r="L12" i="3" s="1"/>
  <c r="G12" i="3"/>
  <c r="H12" i="3" s="1"/>
  <c r="L11" i="3"/>
  <c r="K11" i="3"/>
  <c r="G11" i="3"/>
  <c r="H11" i="3" s="1"/>
  <c r="K10" i="3"/>
  <c r="L10" i="3" s="1"/>
  <c r="G10" i="3"/>
  <c r="H10" i="3" s="1"/>
  <c r="K9" i="3"/>
  <c r="L9" i="3" s="1"/>
  <c r="G9" i="3"/>
  <c r="H9" i="3" s="1"/>
  <c r="K8" i="3"/>
  <c r="L8" i="3" s="1"/>
  <c r="G8" i="3"/>
  <c r="H8" i="3" s="1"/>
  <c r="K7" i="3"/>
  <c r="L7" i="3" s="1"/>
  <c r="G7" i="3"/>
  <c r="H7" i="3" s="1"/>
  <c r="K6" i="3"/>
  <c r="L6" i="3" s="1"/>
  <c r="G6" i="3"/>
  <c r="H6" i="3" s="1"/>
  <c r="L5" i="3"/>
  <c r="K5" i="3"/>
  <c r="G5" i="3"/>
  <c r="H5" i="3" s="1"/>
  <c r="K4" i="3"/>
  <c r="L4" i="3" s="1"/>
  <c r="G4" i="3"/>
  <c r="J250" i="2"/>
  <c r="I250" i="2"/>
  <c r="F250" i="2"/>
  <c r="E250" i="2"/>
  <c r="D250" i="2"/>
  <c r="C250" i="2"/>
  <c r="K249" i="2"/>
  <c r="L249" i="2" s="1"/>
  <c r="G249" i="2"/>
  <c r="H249" i="2" s="1"/>
  <c r="K248" i="2"/>
  <c r="L248" i="2" s="1"/>
  <c r="G248" i="2"/>
  <c r="H248" i="2" s="1"/>
  <c r="K247" i="2"/>
  <c r="L247" i="2" s="1"/>
  <c r="G247" i="2"/>
  <c r="H247" i="2" s="1"/>
  <c r="K246" i="2"/>
  <c r="L246" i="2" s="1"/>
  <c r="G246" i="2"/>
  <c r="H246" i="2" s="1"/>
  <c r="K245" i="2"/>
  <c r="L245" i="2" s="1"/>
  <c r="G245" i="2"/>
  <c r="H245" i="2" s="1"/>
  <c r="K244" i="2"/>
  <c r="L244" i="2" s="1"/>
  <c r="G244" i="2"/>
  <c r="H244" i="2" s="1"/>
  <c r="K243" i="2"/>
  <c r="L243" i="2" s="1"/>
  <c r="G243" i="2"/>
  <c r="H243" i="2" s="1"/>
  <c r="K242" i="2"/>
  <c r="L242" i="2" s="1"/>
  <c r="G242" i="2"/>
  <c r="H242" i="2" s="1"/>
  <c r="K241" i="2"/>
  <c r="L241" i="2" s="1"/>
  <c r="G241" i="2"/>
  <c r="H241" i="2" s="1"/>
  <c r="K240" i="2"/>
  <c r="L240" i="2" s="1"/>
  <c r="G240" i="2"/>
  <c r="H240" i="2" s="1"/>
  <c r="K239" i="2"/>
  <c r="L239" i="2" s="1"/>
  <c r="G239" i="2"/>
  <c r="H239" i="2" s="1"/>
  <c r="K238" i="2"/>
  <c r="L238" i="2" s="1"/>
  <c r="G238" i="2"/>
  <c r="H238" i="2" s="1"/>
  <c r="K237" i="2"/>
  <c r="L237" i="2" s="1"/>
  <c r="G237" i="2"/>
  <c r="H237" i="2" s="1"/>
  <c r="K236" i="2"/>
  <c r="L236" i="2" s="1"/>
  <c r="G236" i="2"/>
  <c r="H236" i="2" s="1"/>
  <c r="K235" i="2"/>
  <c r="L235" i="2" s="1"/>
  <c r="G235" i="2"/>
  <c r="H235" i="2" s="1"/>
  <c r="K234" i="2"/>
  <c r="L234" i="2" s="1"/>
  <c r="G234" i="2"/>
  <c r="H234" i="2" s="1"/>
  <c r="K233" i="2"/>
  <c r="L233" i="2" s="1"/>
  <c r="G233" i="2"/>
  <c r="H233" i="2" s="1"/>
  <c r="K232" i="2"/>
  <c r="L232" i="2" s="1"/>
  <c r="G232" i="2"/>
  <c r="H232" i="2" s="1"/>
  <c r="K231" i="2"/>
  <c r="L231" i="2" s="1"/>
  <c r="G231" i="2"/>
  <c r="H231" i="2" s="1"/>
  <c r="K230" i="2"/>
  <c r="L230" i="2" s="1"/>
  <c r="G230" i="2"/>
  <c r="H230" i="2" s="1"/>
  <c r="K229" i="2"/>
  <c r="L229" i="2" s="1"/>
  <c r="G229" i="2"/>
  <c r="H229" i="2" s="1"/>
  <c r="K228" i="2"/>
  <c r="L228" i="2" s="1"/>
  <c r="G228" i="2"/>
  <c r="H228" i="2" s="1"/>
  <c r="K227" i="2"/>
  <c r="L227" i="2" s="1"/>
  <c r="G227" i="2"/>
  <c r="H227" i="2" s="1"/>
  <c r="K226" i="2"/>
  <c r="L226" i="2" s="1"/>
  <c r="G226" i="2"/>
  <c r="H226" i="2" s="1"/>
  <c r="K225" i="2"/>
  <c r="L225" i="2" s="1"/>
  <c r="G225" i="2"/>
  <c r="H225" i="2" s="1"/>
  <c r="K224" i="2"/>
  <c r="L224" i="2" s="1"/>
  <c r="G224" i="2"/>
  <c r="H224" i="2" s="1"/>
  <c r="K223" i="2"/>
  <c r="L223" i="2" s="1"/>
  <c r="G223" i="2"/>
  <c r="H223" i="2" s="1"/>
  <c r="K222" i="2"/>
  <c r="L222" i="2" s="1"/>
  <c r="G222" i="2"/>
  <c r="H222" i="2" s="1"/>
  <c r="K221" i="2"/>
  <c r="L221" i="2" s="1"/>
  <c r="G221" i="2"/>
  <c r="H221" i="2" s="1"/>
  <c r="K220" i="2"/>
  <c r="L220" i="2" s="1"/>
  <c r="G220" i="2"/>
  <c r="H220" i="2" s="1"/>
  <c r="K219" i="2"/>
  <c r="L219" i="2" s="1"/>
  <c r="G219" i="2"/>
  <c r="H219" i="2" s="1"/>
  <c r="K218" i="2"/>
  <c r="L218" i="2" s="1"/>
  <c r="G218" i="2"/>
  <c r="H218" i="2" s="1"/>
  <c r="K217" i="2"/>
  <c r="L217" i="2" s="1"/>
  <c r="G217" i="2"/>
  <c r="H217" i="2" s="1"/>
  <c r="K216" i="2"/>
  <c r="L216" i="2" s="1"/>
  <c r="G216" i="2"/>
  <c r="H216" i="2" s="1"/>
  <c r="K215" i="2"/>
  <c r="L215" i="2" s="1"/>
  <c r="G215" i="2"/>
  <c r="H215" i="2" s="1"/>
  <c r="K214" i="2"/>
  <c r="L214" i="2" s="1"/>
  <c r="G214" i="2"/>
  <c r="H214" i="2" s="1"/>
  <c r="K213" i="2"/>
  <c r="L213" i="2" s="1"/>
  <c r="G213" i="2"/>
  <c r="H213" i="2" s="1"/>
  <c r="K212" i="2"/>
  <c r="L212" i="2" s="1"/>
  <c r="G212" i="2"/>
  <c r="H212" i="2" s="1"/>
  <c r="K211" i="2"/>
  <c r="L211" i="2" s="1"/>
  <c r="G211" i="2"/>
  <c r="H211" i="2" s="1"/>
  <c r="K210" i="2"/>
  <c r="L210" i="2" s="1"/>
  <c r="G210" i="2"/>
  <c r="H210" i="2" s="1"/>
  <c r="K209" i="2"/>
  <c r="L209" i="2" s="1"/>
  <c r="G209" i="2"/>
  <c r="H209" i="2" s="1"/>
  <c r="K208" i="2"/>
  <c r="L208" i="2" s="1"/>
  <c r="G208" i="2"/>
  <c r="H208" i="2" s="1"/>
  <c r="K207" i="2"/>
  <c r="L207" i="2" s="1"/>
  <c r="G207" i="2"/>
  <c r="H207" i="2" s="1"/>
  <c r="K206" i="2"/>
  <c r="L206" i="2" s="1"/>
  <c r="G206" i="2"/>
  <c r="H206" i="2" s="1"/>
  <c r="K205" i="2"/>
  <c r="L205" i="2" s="1"/>
  <c r="G205" i="2"/>
  <c r="H205" i="2" s="1"/>
  <c r="K204" i="2"/>
  <c r="L204" i="2" s="1"/>
  <c r="G204" i="2"/>
  <c r="H204" i="2" s="1"/>
  <c r="K203" i="2"/>
  <c r="L203" i="2" s="1"/>
  <c r="G203" i="2"/>
  <c r="H203" i="2" s="1"/>
  <c r="K202" i="2"/>
  <c r="L202" i="2" s="1"/>
  <c r="G202" i="2"/>
  <c r="H202" i="2" s="1"/>
  <c r="K201" i="2"/>
  <c r="L201" i="2" s="1"/>
  <c r="G201" i="2"/>
  <c r="H201" i="2" s="1"/>
  <c r="K200" i="2"/>
  <c r="L200" i="2" s="1"/>
  <c r="G200" i="2"/>
  <c r="H200" i="2" s="1"/>
  <c r="K199" i="2"/>
  <c r="L199" i="2" s="1"/>
  <c r="G199" i="2"/>
  <c r="H199" i="2" s="1"/>
  <c r="K198" i="2"/>
  <c r="L198" i="2" s="1"/>
  <c r="G198" i="2"/>
  <c r="H198" i="2" s="1"/>
  <c r="K197" i="2"/>
  <c r="L197" i="2" s="1"/>
  <c r="G197" i="2"/>
  <c r="H197" i="2" s="1"/>
  <c r="K196" i="2"/>
  <c r="L196" i="2" s="1"/>
  <c r="G196" i="2"/>
  <c r="H196" i="2" s="1"/>
  <c r="K195" i="2"/>
  <c r="L195" i="2" s="1"/>
  <c r="G195" i="2"/>
  <c r="H195" i="2" s="1"/>
  <c r="K194" i="2"/>
  <c r="L194" i="2" s="1"/>
  <c r="G194" i="2"/>
  <c r="H194" i="2" s="1"/>
  <c r="K193" i="2"/>
  <c r="L193" i="2" s="1"/>
  <c r="G193" i="2"/>
  <c r="H193" i="2" s="1"/>
  <c r="K192" i="2"/>
  <c r="L192" i="2" s="1"/>
  <c r="G192" i="2"/>
  <c r="H192" i="2" s="1"/>
  <c r="K191" i="2"/>
  <c r="L191" i="2" s="1"/>
  <c r="G191" i="2"/>
  <c r="H191" i="2" s="1"/>
  <c r="K190" i="2"/>
  <c r="L190" i="2" s="1"/>
  <c r="G190" i="2"/>
  <c r="H190" i="2" s="1"/>
  <c r="K189" i="2"/>
  <c r="L189" i="2" s="1"/>
  <c r="G189" i="2"/>
  <c r="H189" i="2" s="1"/>
  <c r="K188" i="2"/>
  <c r="L188" i="2" s="1"/>
  <c r="G188" i="2"/>
  <c r="H188" i="2" s="1"/>
  <c r="K187" i="2"/>
  <c r="L187" i="2" s="1"/>
  <c r="G187" i="2"/>
  <c r="H187" i="2" s="1"/>
  <c r="K186" i="2"/>
  <c r="L186" i="2" s="1"/>
  <c r="G186" i="2"/>
  <c r="H186" i="2" s="1"/>
  <c r="K185" i="2"/>
  <c r="L185" i="2" s="1"/>
  <c r="G185" i="2"/>
  <c r="H185" i="2" s="1"/>
  <c r="K184" i="2"/>
  <c r="L184" i="2" s="1"/>
  <c r="G184" i="2"/>
  <c r="H184" i="2" s="1"/>
  <c r="K183" i="2"/>
  <c r="L183" i="2" s="1"/>
  <c r="G183" i="2"/>
  <c r="H183" i="2" s="1"/>
  <c r="K182" i="2"/>
  <c r="L182" i="2" s="1"/>
  <c r="G182" i="2"/>
  <c r="H182" i="2" s="1"/>
  <c r="K181" i="2"/>
  <c r="L181" i="2" s="1"/>
  <c r="G181" i="2"/>
  <c r="H181" i="2" s="1"/>
  <c r="K180" i="2"/>
  <c r="L180" i="2" s="1"/>
  <c r="G180" i="2"/>
  <c r="H180" i="2" s="1"/>
  <c r="K179" i="2"/>
  <c r="L179" i="2" s="1"/>
  <c r="G179" i="2"/>
  <c r="H179" i="2" s="1"/>
  <c r="K178" i="2"/>
  <c r="L178" i="2" s="1"/>
  <c r="G178" i="2"/>
  <c r="H178" i="2" s="1"/>
  <c r="K177" i="2"/>
  <c r="L177" i="2" s="1"/>
  <c r="G177" i="2"/>
  <c r="H177" i="2" s="1"/>
  <c r="K176" i="2"/>
  <c r="L176" i="2" s="1"/>
  <c r="G176" i="2"/>
  <c r="H176" i="2" s="1"/>
  <c r="K175" i="2"/>
  <c r="L175" i="2" s="1"/>
  <c r="G175" i="2"/>
  <c r="H175" i="2" s="1"/>
  <c r="K174" i="2"/>
  <c r="L174" i="2" s="1"/>
  <c r="G174" i="2"/>
  <c r="H174" i="2" s="1"/>
  <c r="K173" i="2"/>
  <c r="L173" i="2" s="1"/>
  <c r="G173" i="2"/>
  <c r="H173" i="2" s="1"/>
  <c r="K172" i="2"/>
  <c r="L172" i="2" s="1"/>
  <c r="G172" i="2"/>
  <c r="H172" i="2" s="1"/>
  <c r="K171" i="2"/>
  <c r="L171" i="2" s="1"/>
  <c r="G171" i="2"/>
  <c r="H171" i="2" s="1"/>
  <c r="K170" i="2"/>
  <c r="L170" i="2" s="1"/>
  <c r="G170" i="2"/>
  <c r="H170" i="2" s="1"/>
  <c r="K169" i="2"/>
  <c r="L169" i="2" s="1"/>
  <c r="G169" i="2"/>
  <c r="H169" i="2" s="1"/>
  <c r="K168" i="2"/>
  <c r="L168" i="2" s="1"/>
  <c r="G168" i="2"/>
  <c r="H168" i="2" s="1"/>
  <c r="K167" i="2"/>
  <c r="L167" i="2" s="1"/>
  <c r="G167" i="2"/>
  <c r="H167" i="2" s="1"/>
  <c r="K166" i="2"/>
  <c r="L166" i="2" s="1"/>
  <c r="G166" i="2"/>
  <c r="H166" i="2" s="1"/>
  <c r="K165" i="2"/>
  <c r="L165" i="2" s="1"/>
  <c r="G165" i="2"/>
  <c r="H165" i="2" s="1"/>
  <c r="K164" i="2"/>
  <c r="L164" i="2" s="1"/>
  <c r="G164" i="2"/>
  <c r="H164" i="2" s="1"/>
  <c r="K163" i="2"/>
  <c r="L163" i="2" s="1"/>
  <c r="G163" i="2"/>
  <c r="H163" i="2" s="1"/>
  <c r="K162" i="2"/>
  <c r="L162" i="2" s="1"/>
  <c r="G162" i="2"/>
  <c r="H162" i="2" s="1"/>
  <c r="K161" i="2"/>
  <c r="L161" i="2" s="1"/>
  <c r="G161" i="2"/>
  <c r="H161" i="2" s="1"/>
  <c r="K160" i="2"/>
  <c r="L160" i="2" s="1"/>
  <c r="G160" i="2"/>
  <c r="H160" i="2" s="1"/>
  <c r="K159" i="2"/>
  <c r="L159" i="2" s="1"/>
  <c r="G159" i="2"/>
  <c r="H159" i="2" s="1"/>
  <c r="K158" i="2"/>
  <c r="L158" i="2" s="1"/>
  <c r="G158" i="2"/>
  <c r="H158" i="2" s="1"/>
  <c r="K157" i="2"/>
  <c r="L157" i="2" s="1"/>
  <c r="G157" i="2"/>
  <c r="H157" i="2" s="1"/>
  <c r="K156" i="2"/>
  <c r="L156" i="2" s="1"/>
  <c r="G156" i="2"/>
  <c r="H156" i="2" s="1"/>
  <c r="K155" i="2"/>
  <c r="L155" i="2" s="1"/>
  <c r="G155" i="2"/>
  <c r="H155" i="2" s="1"/>
  <c r="K154" i="2"/>
  <c r="L154" i="2" s="1"/>
  <c r="G154" i="2"/>
  <c r="H154" i="2" s="1"/>
  <c r="K153" i="2"/>
  <c r="L153" i="2" s="1"/>
  <c r="G153" i="2"/>
  <c r="H153" i="2" s="1"/>
  <c r="K152" i="2"/>
  <c r="L152" i="2" s="1"/>
  <c r="G152" i="2"/>
  <c r="H152" i="2" s="1"/>
  <c r="K151" i="2"/>
  <c r="L151" i="2" s="1"/>
  <c r="G151" i="2"/>
  <c r="H151" i="2" s="1"/>
  <c r="K150" i="2"/>
  <c r="L150" i="2" s="1"/>
  <c r="G150" i="2"/>
  <c r="H150" i="2" s="1"/>
  <c r="K149" i="2"/>
  <c r="L149" i="2" s="1"/>
  <c r="G149" i="2"/>
  <c r="H149" i="2" s="1"/>
  <c r="K148" i="2"/>
  <c r="L148" i="2" s="1"/>
  <c r="G148" i="2"/>
  <c r="H148" i="2" s="1"/>
  <c r="K147" i="2"/>
  <c r="L147" i="2" s="1"/>
  <c r="G147" i="2"/>
  <c r="H147" i="2" s="1"/>
  <c r="K146" i="2"/>
  <c r="L146" i="2" s="1"/>
  <c r="G146" i="2"/>
  <c r="H146" i="2" s="1"/>
  <c r="K145" i="2"/>
  <c r="L145" i="2" s="1"/>
  <c r="G145" i="2"/>
  <c r="H145" i="2" s="1"/>
  <c r="K144" i="2"/>
  <c r="L144" i="2" s="1"/>
  <c r="G144" i="2"/>
  <c r="H144" i="2" s="1"/>
  <c r="K143" i="2"/>
  <c r="L143" i="2" s="1"/>
  <c r="G143" i="2"/>
  <c r="H143" i="2" s="1"/>
  <c r="K142" i="2"/>
  <c r="L142" i="2" s="1"/>
  <c r="G142" i="2"/>
  <c r="H142" i="2" s="1"/>
  <c r="K141" i="2"/>
  <c r="L141" i="2" s="1"/>
  <c r="G141" i="2"/>
  <c r="H141" i="2" s="1"/>
  <c r="K140" i="2"/>
  <c r="L140" i="2" s="1"/>
  <c r="G140" i="2"/>
  <c r="H140" i="2" s="1"/>
  <c r="K139" i="2"/>
  <c r="L139" i="2" s="1"/>
  <c r="G139" i="2"/>
  <c r="H139" i="2" s="1"/>
  <c r="K138" i="2"/>
  <c r="L138" i="2" s="1"/>
  <c r="G138" i="2"/>
  <c r="H138" i="2" s="1"/>
  <c r="K137" i="2"/>
  <c r="L137" i="2" s="1"/>
  <c r="G137" i="2"/>
  <c r="H137" i="2" s="1"/>
  <c r="K136" i="2"/>
  <c r="L136" i="2" s="1"/>
  <c r="G136" i="2"/>
  <c r="H136" i="2" s="1"/>
  <c r="K135" i="2"/>
  <c r="L135" i="2" s="1"/>
  <c r="G135" i="2"/>
  <c r="H135" i="2" s="1"/>
  <c r="K134" i="2"/>
  <c r="L134" i="2" s="1"/>
  <c r="G134" i="2"/>
  <c r="H134" i="2" s="1"/>
  <c r="K133" i="2"/>
  <c r="L133" i="2" s="1"/>
  <c r="G133" i="2"/>
  <c r="H133" i="2" s="1"/>
  <c r="K132" i="2"/>
  <c r="L132" i="2" s="1"/>
  <c r="G132" i="2"/>
  <c r="H132" i="2" s="1"/>
  <c r="K131" i="2"/>
  <c r="L131" i="2" s="1"/>
  <c r="G131" i="2"/>
  <c r="H131" i="2" s="1"/>
  <c r="K130" i="2"/>
  <c r="L130" i="2" s="1"/>
  <c r="G130" i="2"/>
  <c r="H130" i="2" s="1"/>
  <c r="J124" i="2"/>
  <c r="I124" i="2"/>
  <c r="F124" i="2"/>
  <c r="E124" i="2"/>
  <c r="D124" i="2"/>
  <c r="C124" i="2"/>
  <c r="K123" i="2"/>
  <c r="L123" i="2" s="1"/>
  <c r="G123" i="2"/>
  <c r="H123" i="2" s="1"/>
  <c r="K122" i="2"/>
  <c r="L122" i="2" s="1"/>
  <c r="G122" i="2"/>
  <c r="H122" i="2" s="1"/>
  <c r="K121" i="2"/>
  <c r="L121" i="2" s="1"/>
  <c r="G121" i="2"/>
  <c r="H121" i="2" s="1"/>
  <c r="K120" i="2"/>
  <c r="L120" i="2" s="1"/>
  <c r="G120" i="2"/>
  <c r="H120" i="2" s="1"/>
  <c r="K119" i="2"/>
  <c r="L119" i="2" s="1"/>
  <c r="G119" i="2"/>
  <c r="H119" i="2" s="1"/>
  <c r="K118" i="2"/>
  <c r="L118" i="2" s="1"/>
  <c r="G118" i="2"/>
  <c r="H118" i="2" s="1"/>
  <c r="K117" i="2"/>
  <c r="L117" i="2" s="1"/>
  <c r="G117" i="2"/>
  <c r="H117" i="2" s="1"/>
  <c r="K116" i="2"/>
  <c r="L116" i="2" s="1"/>
  <c r="G116" i="2"/>
  <c r="H116" i="2" s="1"/>
  <c r="K115" i="2"/>
  <c r="L115" i="2" s="1"/>
  <c r="G115" i="2"/>
  <c r="H115" i="2" s="1"/>
  <c r="K114" i="2"/>
  <c r="L114" i="2" s="1"/>
  <c r="G114" i="2"/>
  <c r="H114" i="2" s="1"/>
  <c r="K113" i="2"/>
  <c r="L113" i="2" s="1"/>
  <c r="G113" i="2"/>
  <c r="H113" i="2" s="1"/>
  <c r="K112" i="2"/>
  <c r="L112" i="2" s="1"/>
  <c r="G112" i="2"/>
  <c r="H112" i="2" s="1"/>
  <c r="K111" i="2"/>
  <c r="L111" i="2" s="1"/>
  <c r="G111" i="2"/>
  <c r="H111" i="2" s="1"/>
  <c r="K110" i="2"/>
  <c r="L110" i="2" s="1"/>
  <c r="G110" i="2"/>
  <c r="H110" i="2" s="1"/>
  <c r="K109" i="2"/>
  <c r="L109" i="2" s="1"/>
  <c r="G109" i="2"/>
  <c r="H109" i="2" s="1"/>
  <c r="K108" i="2"/>
  <c r="L108" i="2" s="1"/>
  <c r="G108" i="2"/>
  <c r="H108" i="2" s="1"/>
  <c r="K107" i="2"/>
  <c r="L107" i="2" s="1"/>
  <c r="G107" i="2"/>
  <c r="H107" i="2" s="1"/>
  <c r="K106" i="2"/>
  <c r="L106" i="2" s="1"/>
  <c r="G106" i="2"/>
  <c r="H106" i="2" s="1"/>
  <c r="K105" i="2"/>
  <c r="L105" i="2" s="1"/>
  <c r="G105" i="2"/>
  <c r="H105" i="2" s="1"/>
  <c r="K104" i="2"/>
  <c r="L104" i="2" s="1"/>
  <c r="G104" i="2"/>
  <c r="H104" i="2" s="1"/>
  <c r="K103" i="2"/>
  <c r="L103" i="2" s="1"/>
  <c r="G103" i="2"/>
  <c r="H103" i="2" s="1"/>
  <c r="K102" i="2"/>
  <c r="L102" i="2" s="1"/>
  <c r="G102" i="2"/>
  <c r="H102" i="2" s="1"/>
  <c r="K101" i="2"/>
  <c r="L101" i="2" s="1"/>
  <c r="G101" i="2"/>
  <c r="H101" i="2" s="1"/>
  <c r="K100" i="2"/>
  <c r="L100" i="2" s="1"/>
  <c r="G100" i="2"/>
  <c r="H100" i="2" s="1"/>
  <c r="K99" i="2"/>
  <c r="L99" i="2" s="1"/>
  <c r="G99" i="2"/>
  <c r="H99" i="2" s="1"/>
  <c r="K98" i="2"/>
  <c r="L98" i="2" s="1"/>
  <c r="G98" i="2"/>
  <c r="H98" i="2" s="1"/>
  <c r="K97" i="2"/>
  <c r="L97" i="2" s="1"/>
  <c r="G97" i="2"/>
  <c r="H97" i="2" s="1"/>
  <c r="K96" i="2"/>
  <c r="L96" i="2" s="1"/>
  <c r="G96" i="2"/>
  <c r="H96" i="2" s="1"/>
  <c r="K95" i="2"/>
  <c r="L95" i="2" s="1"/>
  <c r="G95" i="2"/>
  <c r="H95" i="2" s="1"/>
  <c r="K94" i="2"/>
  <c r="L94" i="2" s="1"/>
  <c r="G94" i="2"/>
  <c r="H94" i="2" s="1"/>
  <c r="K93" i="2"/>
  <c r="L93" i="2" s="1"/>
  <c r="G93" i="2"/>
  <c r="H93" i="2" s="1"/>
  <c r="K92" i="2"/>
  <c r="L92" i="2" s="1"/>
  <c r="G92" i="2"/>
  <c r="H92" i="2" s="1"/>
  <c r="K91" i="2"/>
  <c r="L91" i="2" s="1"/>
  <c r="G91" i="2"/>
  <c r="H91" i="2" s="1"/>
  <c r="K90" i="2"/>
  <c r="L90" i="2" s="1"/>
  <c r="G90" i="2"/>
  <c r="H90" i="2" s="1"/>
  <c r="K89" i="2"/>
  <c r="L89" i="2" s="1"/>
  <c r="G89" i="2"/>
  <c r="H89" i="2" s="1"/>
  <c r="K88" i="2"/>
  <c r="L88" i="2" s="1"/>
  <c r="G88" i="2"/>
  <c r="H88" i="2" s="1"/>
  <c r="K87" i="2"/>
  <c r="L87" i="2" s="1"/>
  <c r="G87" i="2"/>
  <c r="H87" i="2" s="1"/>
  <c r="K86" i="2"/>
  <c r="L86" i="2" s="1"/>
  <c r="G86" i="2"/>
  <c r="H86" i="2" s="1"/>
  <c r="K85" i="2"/>
  <c r="L85" i="2" s="1"/>
  <c r="G85" i="2"/>
  <c r="H85" i="2" s="1"/>
  <c r="K84" i="2"/>
  <c r="L84" i="2" s="1"/>
  <c r="G84" i="2"/>
  <c r="H84" i="2" s="1"/>
  <c r="K83" i="2"/>
  <c r="L83" i="2" s="1"/>
  <c r="G83" i="2"/>
  <c r="H83" i="2" s="1"/>
  <c r="K82" i="2"/>
  <c r="L82" i="2" s="1"/>
  <c r="G82" i="2"/>
  <c r="H82" i="2" s="1"/>
  <c r="K81" i="2"/>
  <c r="L81" i="2" s="1"/>
  <c r="G81" i="2"/>
  <c r="H81" i="2" s="1"/>
  <c r="K80" i="2"/>
  <c r="L80" i="2" s="1"/>
  <c r="G80" i="2"/>
  <c r="H80" i="2" s="1"/>
  <c r="K79" i="2"/>
  <c r="L79" i="2" s="1"/>
  <c r="G79" i="2"/>
  <c r="H79" i="2" s="1"/>
  <c r="K78" i="2"/>
  <c r="L78" i="2" s="1"/>
  <c r="G78" i="2"/>
  <c r="H78" i="2" s="1"/>
  <c r="K77" i="2"/>
  <c r="L77" i="2" s="1"/>
  <c r="G77" i="2"/>
  <c r="H77" i="2" s="1"/>
  <c r="K76" i="2"/>
  <c r="L76" i="2" s="1"/>
  <c r="G76" i="2"/>
  <c r="H76" i="2" s="1"/>
  <c r="K75" i="2"/>
  <c r="L75" i="2" s="1"/>
  <c r="G75" i="2"/>
  <c r="H75" i="2" s="1"/>
  <c r="K74" i="2"/>
  <c r="L74" i="2" s="1"/>
  <c r="G74" i="2"/>
  <c r="H74" i="2" s="1"/>
  <c r="K73" i="2"/>
  <c r="L73" i="2" s="1"/>
  <c r="G73" i="2"/>
  <c r="H73" i="2" s="1"/>
  <c r="K72" i="2"/>
  <c r="L72" i="2" s="1"/>
  <c r="G72" i="2"/>
  <c r="H72" i="2" s="1"/>
  <c r="K71" i="2"/>
  <c r="L71" i="2" s="1"/>
  <c r="G71" i="2"/>
  <c r="H71" i="2" s="1"/>
  <c r="K70" i="2"/>
  <c r="L70" i="2" s="1"/>
  <c r="G70" i="2"/>
  <c r="H70" i="2" s="1"/>
  <c r="K69" i="2"/>
  <c r="L69" i="2" s="1"/>
  <c r="G69" i="2"/>
  <c r="H69" i="2" s="1"/>
  <c r="K68" i="2"/>
  <c r="L68" i="2" s="1"/>
  <c r="G68" i="2"/>
  <c r="H68" i="2" s="1"/>
  <c r="K67" i="2"/>
  <c r="L67" i="2" s="1"/>
  <c r="G67" i="2"/>
  <c r="H67" i="2" s="1"/>
  <c r="K66" i="2"/>
  <c r="L66" i="2" s="1"/>
  <c r="G66" i="2"/>
  <c r="H66" i="2" s="1"/>
  <c r="K65" i="2"/>
  <c r="L65" i="2" s="1"/>
  <c r="G65" i="2"/>
  <c r="H65" i="2" s="1"/>
  <c r="K64" i="2"/>
  <c r="L64" i="2" s="1"/>
  <c r="G64" i="2"/>
  <c r="H64" i="2" s="1"/>
  <c r="K63" i="2"/>
  <c r="L63" i="2" s="1"/>
  <c r="G63" i="2"/>
  <c r="H63" i="2" s="1"/>
  <c r="K62" i="2"/>
  <c r="L62" i="2" s="1"/>
  <c r="G62" i="2"/>
  <c r="H62" i="2" s="1"/>
  <c r="K61" i="2"/>
  <c r="L61" i="2" s="1"/>
  <c r="G61" i="2"/>
  <c r="H61" i="2" s="1"/>
  <c r="K60" i="2"/>
  <c r="L60" i="2" s="1"/>
  <c r="G60" i="2"/>
  <c r="H60" i="2" s="1"/>
  <c r="K59" i="2"/>
  <c r="L59" i="2" s="1"/>
  <c r="G59" i="2"/>
  <c r="H59" i="2" s="1"/>
  <c r="K58" i="2"/>
  <c r="L58" i="2" s="1"/>
  <c r="G58" i="2"/>
  <c r="H58" i="2" s="1"/>
  <c r="K57" i="2"/>
  <c r="L57" i="2" s="1"/>
  <c r="G57" i="2"/>
  <c r="H57" i="2" s="1"/>
  <c r="K56" i="2"/>
  <c r="L56" i="2" s="1"/>
  <c r="G56" i="2"/>
  <c r="H56" i="2" s="1"/>
  <c r="K55" i="2"/>
  <c r="L55" i="2" s="1"/>
  <c r="G55" i="2"/>
  <c r="H55" i="2" s="1"/>
  <c r="K54" i="2"/>
  <c r="L54" i="2" s="1"/>
  <c r="G54" i="2"/>
  <c r="H54" i="2" s="1"/>
  <c r="K53" i="2"/>
  <c r="L53" i="2" s="1"/>
  <c r="G53" i="2"/>
  <c r="H53" i="2" s="1"/>
  <c r="K52" i="2"/>
  <c r="L52" i="2" s="1"/>
  <c r="G52" i="2"/>
  <c r="H52" i="2" s="1"/>
  <c r="K51" i="2"/>
  <c r="L51" i="2" s="1"/>
  <c r="G51" i="2"/>
  <c r="H51" i="2" s="1"/>
  <c r="K50" i="2"/>
  <c r="L50" i="2" s="1"/>
  <c r="G50" i="2"/>
  <c r="H50" i="2" s="1"/>
  <c r="K49" i="2"/>
  <c r="L49" i="2" s="1"/>
  <c r="G49" i="2"/>
  <c r="H49" i="2" s="1"/>
  <c r="K48" i="2"/>
  <c r="L48" i="2" s="1"/>
  <c r="G48" i="2"/>
  <c r="H48" i="2" s="1"/>
  <c r="K47" i="2"/>
  <c r="L47" i="2" s="1"/>
  <c r="G47" i="2"/>
  <c r="H47" i="2" s="1"/>
  <c r="K46" i="2"/>
  <c r="L46" i="2" s="1"/>
  <c r="G46" i="2"/>
  <c r="H46" i="2" s="1"/>
  <c r="K45" i="2"/>
  <c r="L45" i="2" s="1"/>
  <c r="G45" i="2"/>
  <c r="H45" i="2" s="1"/>
  <c r="K44" i="2"/>
  <c r="L44" i="2" s="1"/>
  <c r="G44" i="2"/>
  <c r="H44" i="2" s="1"/>
  <c r="K43" i="2"/>
  <c r="L43" i="2" s="1"/>
  <c r="G43" i="2"/>
  <c r="H43" i="2" s="1"/>
  <c r="K42" i="2"/>
  <c r="L42" i="2" s="1"/>
  <c r="G42" i="2"/>
  <c r="H42" i="2" s="1"/>
  <c r="K41" i="2"/>
  <c r="L41" i="2" s="1"/>
  <c r="G41" i="2"/>
  <c r="H41" i="2" s="1"/>
  <c r="K40" i="2"/>
  <c r="L40" i="2" s="1"/>
  <c r="G40" i="2"/>
  <c r="H40" i="2" s="1"/>
  <c r="K39" i="2"/>
  <c r="L39" i="2" s="1"/>
  <c r="G39" i="2"/>
  <c r="H39" i="2" s="1"/>
  <c r="K38" i="2"/>
  <c r="L38" i="2" s="1"/>
  <c r="G38" i="2"/>
  <c r="H38" i="2" s="1"/>
  <c r="K37" i="2"/>
  <c r="L37" i="2" s="1"/>
  <c r="G37" i="2"/>
  <c r="H37" i="2" s="1"/>
  <c r="K36" i="2"/>
  <c r="L36" i="2" s="1"/>
  <c r="G36" i="2"/>
  <c r="H36" i="2" s="1"/>
  <c r="K35" i="2"/>
  <c r="L35" i="2" s="1"/>
  <c r="G35" i="2"/>
  <c r="H35" i="2" s="1"/>
  <c r="K34" i="2"/>
  <c r="L34" i="2" s="1"/>
  <c r="G34" i="2"/>
  <c r="H34" i="2" s="1"/>
  <c r="K33" i="2"/>
  <c r="L33" i="2" s="1"/>
  <c r="G33" i="2"/>
  <c r="H33" i="2" s="1"/>
  <c r="K32" i="2"/>
  <c r="L32" i="2" s="1"/>
  <c r="G32" i="2"/>
  <c r="H32" i="2" s="1"/>
  <c r="K31" i="2"/>
  <c r="L31" i="2" s="1"/>
  <c r="G31" i="2"/>
  <c r="H31" i="2" s="1"/>
  <c r="K30" i="2"/>
  <c r="L30" i="2" s="1"/>
  <c r="G30" i="2"/>
  <c r="H30" i="2" s="1"/>
  <c r="K29" i="2"/>
  <c r="L29" i="2" s="1"/>
  <c r="G29" i="2"/>
  <c r="H29" i="2" s="1"/>
  <c r="K28" i="2"/>
  <c r="L28" i="2" s="1"/>
  <c r="G28" i="2"/>
  <c r="H28" i="2" s="1"/>
  <c r="K27" i="2"/>
  <c r="L27" i="2" s="1"/>
  <c r="G27" i="2"/>
  <c r="H27" i="2" s="1"/>
  <c r="K26" i="2"/>
  <c r="L26" i="2" s="1"/>
  <c r="G26" i="2"/>
  <c r="H26" i="2" s="1"/>
  <c r="K25" i="2"/>
  <c r="L25" i="2" s="1"/>
  <c r="G25" i="2"/>
  <c r="H25" i="2" s="1"/>
  <c r="K24" i="2"/>
  <c r="L24" i="2" s="1"/>
  <c r="G24" i="2"/>
  <c r="H24" i="2" s="1"/>
  <c r="K23" i="2"/>
  <c r="L23" i="2" s="1"/>
  <c r="G23" i="2"/>
  <c r="H23" i="2" s="1"/>
  <c r="K22" i="2"/>
  <c r="L22" i="2" s="1"/>
  <c r="G22" i="2"/>
  <c r="H22" i="2" s="1"/>
  <c r="K21" i="2"/>
  <c r="L21" i="2" s="1"/>
  <c r="G21" i="2"/>
  <c r="H21" i="2" s="1"/>
  <c r="K20" i="2"/>
  <c r="L20" i="2" s="1"/>
  <c r="G20" i="2"/>
  <c r="H20" i="2" s="1"/>
  <c r="K19" i="2"/>
  <c r="L19" i="2" s="1"/>
  <c r="G19" i="2"/>
  <c r="H19" i="2" s="1"/>
  <c r="K18" i="2"/>
  <c r="L18" i="2" s="1"/>
  <c r="G18" i="2"/>
  <c r="H18" i="2" s="1"/>
  <c r="K17" i="2"/>
  <c r="L17" i="2" s="1"/>
  <c r="G17" i="2"/>
  <c r="H17" i="2" s="1"/>
  <c r="K16" i="2"/>
  <c r="L16" i="2" s="1"/>
  <c r="G16" i="2"/>
  <c r="H16" i="2" s="1"/>
  <c r="K15" i="2"/>
  <c r="L15" i="2" s="1"/>
  <c r="G15" i="2"/>
  <c r="H15" i="2" s="1"/>
  <c r="K14" i="2"/>
  <c r="L14" i="2" s="1"/>
  <c r="G14" i="2"/>
  <c r="H14" i="2" s="1"/>
  <c r="K13" i="2"/>
  <c r="L13" i="2" s="1"/>
  <c r="G13" i="2"/>
  <c r="H13" i="2" s="1"/>
  <c r="K12" i="2"/>
  <c r="L12" i="2" s="1"/>
  <c r="G12" i="2"/>
  <c r="H12" i="2" s="1"/>
  <c r="K11" i="2"/>
  <c r="L11" i="2" s="1"/>
  <c r="G11" i="2"/>
  <c r="H11" i="2" s="1"/>
  <c r="K10" i="2"/>
  <c r="L10" i="2" s="1"/>
  <c r="G10" i="2"/>
  <c r="H10" i="2" s="1"/>
  <c r="K9" i="2"/>
  <c r="L9" i="2" s="1"/>
  <c r="G9" i="2"/>
  <c r="H9" i="2" s="1"/>
  <c r="K8" i="2"/>
  <c r="L8" i="2" s="1"/>
  <c r="G8" i="2"/>
  <c r="H8" i="2" s="1"/>
  <c r="K7" i="2"/>
  <c r="L7" i="2" s="1"/>
  <c r="G7" i="2"/>
  <c r="H7" i="2" s="1"/>
  <c r="K6" i="2"/>
  <c r="L6" i="2" s="1"/>
  <c r="G6" i="2"/>
  <c r="H6" i="2" s="1"/>
  <c r="K5" i="2"/>
  <c r="L5" i="2" s="1"/>
  <c r="G5" i="2"/>
  <c r="H5" i="2" s="1"/>
  <c r="K4" i="2"/>
  <c r="G4" i="2"/>
  <c r="H4" i="2" s="1"/>
  <c r="J251" i="1"/>
  <c r="I251" i="1"/>
  <c r="F251" i="1"/>
  <c r="E251" i="1"/>
  <c r="D251" i="1"/>
  <c r="C251" i="1"/>
  <c r="K250" i="1"/>
  <c r="L250" i="1" s="1"/>
  <c r="G250" i="1"/>
  <c r="H250" i="1" s="1"/>
  <c r="K249" i="1"/>
  <c r="L249" i="1" s="1"/>
  <c r="G249" i="1"/>
  <c r="H249" i="1" s="1"/>
  <c r="K248" i="1"/>
  <c r="L248" i="1" s="1"/>
  <c r="G248" i="1"/>
  <c r="H248" i="1" s="1"/>
  <c r="K247" i="1"/>
  <c r="L247" i="1" s="1"/>
  <c r="H247" i="1"/>
  <c r="G247" i="1"/>
  <c r="K246" i="1"/>
  <c r="L246" i="1" s="1"/>
  <c r="G246" i="1"/>
  <c r="H246" i="1" s="1"/>
  <c r="K245" i="1"/>
  <c r="L245" i="1" s="1"/>
  <c r="H245" i="1"/>
  <c r="G245" i="1"/>
  <c r="K244" i="1"/>
  <c r="L244" i="1" s="1"/>
  <c r="G244" i="1"/>
  <c r="H244" i="1" s="1"/>
  <c r="K243" i="1"/>
  <c r="L243" i="1" s="1"/>
  <c r="G243" i="1"/>
  <c r="H243" i="1" s="1"/>
  <c r="K242" i="1"/>
  <c r="L242" i="1" s="1"/>
  <c r="G242" i="1"/>
  <c r="H242" i="1" s="1"/>
  <c r="K241" i="1"/>
  <c r="L241" i="1" s="1"/>
  <c r="G241" i="1"/>
  <c r="H241" i="1" s="1"/>
  <c r="K240" i="1"/>
  <c r="L240" i="1" s="1"/>
  <c r="G240" i="1"/>
  <c r="H240" i="1" s="1"/>
  <c r="K239" i="1"/>
  <c r="L239" i="1" s="1"/>
  <c r="G239" i="1"/>
  <c r="H239" i="1" s="1"/>
  <c r="K238" i="1"/>
  <c r="L238" i="1" s="1"/>
  <c r="G238" i="1"/>
  <c r="H238" i="1" s="1"/>
  <c r="K237" i="1"/>
  <c r="L237" i="1" s="1"/>
  <c r="G237" i="1"/>
  <c r="H237" i="1" s="1"/>
  <c r="K236" i="1"/>
  <c r="L236" i="1" s="1"/>
  <c r="H236" i="1"/>
  <c r="G236" i="1"/>
  <c r="K235" i="1"/>
  <c r="L235" i="1" s="1"/>
  <c r="G235" i="1"/>
  <c r="H235" i="1" s="1"/>
  <c r="K234" i="1"/>
  <c r="L234" i="1" s="1"/>
  <c r="G234" i="1"/>
  <c r="H234" i="1" s="1"/>
  <c r="K233" i="1"/>
  <c r="L233" i="1" s="1"/>
  <c r="G233" i="1"/>
  <c r="H233" i="1" s="1"/>
  <c r="K232" i="1"/>
  <c r="L232" i="1" s="1"/>
  <c r="G232" i="1"/>
  <c r="H232" i="1" s="1"/>
  <c r="K231" i="1"/>
  <c r="L231" i="1" s="1"/>
  <c r="G231" i="1"/>
  <c r="H231" i="1" s="1"/>
  <c r="K230" i="1"/>
  <c r="L230" i="1" s="1"/>
  <c r="G230" i="1"/>
  <c r="H230" i="1" s="1"/>
  <c r="K229" i="1"/>
  <c r="L229" i="1" s="1"/>
  <c r="G229" i="1"/>
  <c r="H229" i="1" s="1"/>
  <c r="K228" i="1"/>
  <c r="L228" i="1" s="1"/>
  <c r="G228" i="1"/>
  <c r="H228" i="1" s="1"/>
  <c r="K227" i="1"/>
  <c r="L227" i="1" s="1"/>
  <c r="G227" i="1"/>
  <c r="H227" i="1" s="1"/>
  <c r="K226" i="1"/>
  <c r="L226" i="1" s="1"/>
  <c r="G226" i="1"/>
  <c r="H226" i="1" s="1"/>
  <c r="K225" i="1"/>
  <c r="L225" i="1" s="1"/>
  <c r="H225" i="1"/>
  <c r="G225" i="1"/>
  <c r="K224" i="1"/>
  <c r="L224" i="1" s="1"/>
  <c r="G224" i="1"/>
  <c r="H224" i="1" s="1"/>
  <c r="K223" i="1"/>
  <c r="L223" i="1" s="1"/>
  <c r="G223" i="1"/>
  <c r="H223" i="1" s="1"/>
  <c r="K222" i="1"/>
  <c r="L222" i="1" s="1"/>
  <c r="G222" i="1"/>
  <c r="H222" i="1" s="1"/>
  <c r="K221" i="1"/>
  <c r="L221" i="1" s="1"/>
  <c r="G221" i="1"/>
  <c r="H221" i="1" s="1"/>
  <c r="K220" i="1"/>
  <c r="L220" i="1" s="1"/>
  <c r="G220" i="1"/>
  <c r="H220" i="1" s="1"/>
  <c r="K219" i="1"/>
  <c r="L219" i="1" s="1"/>
  <c r="G219" i="1"/>
  <c r="H219" i="1" s="1"/>
  <c r="K218" i="1"/>
  <c r="L218" i="1" s="1"/>
  <c r="G218" i="1"/>
  <c r="H218" i="1" s="1"/>
  <c r="K217" i="1"/>
  <c r="L217" i="1" s="1"/>
  <c r="G217" i="1"/>
  <c r="H217" i="1" s="1"/>
  <c r="K216" i="1"/>
  <c r="L216" i="1" s="1"/>
  <c r="G216" i="1"/>
  <c r="H216" i="1" s="1"/>
  <c r="K215" i="1"/>
  <c r="L215" i="1" s="1"/>
  <c r="G215" i="1"/>
  <c r="H215" i="1" s="1"/>
  <c r="K214" i="1"/>
  <c r="L214" i="1" s="1"/>
  <c r="H214" i="1"/>
  <c r="G214" i="1"/>
  <c r="K213" i="1"/>
  <c r="L213" i="1" s="1"/>
  <c r="G213" i="1"/>
  <c r="H213" i="1" s="1"/>
  <c r="K212" i="1"/>
  <c r="L212" i="1" s="1"/>
  <c r="G212" i="1"/>
  <c r="H212" i="1" s="1"/>
  <c r="K211" i="1"/>
  <c r="L211" i="1" s="1"/>
  <c r="G211" i="1"/>
  <c r="H211" i="1" s="1"/>
  <c r="K210" i="1"/>
  <c r="L210" i="1" s="1"/>
  <c r="G210" i="1"/>
  <c r="H210" i="1" s="1"/>
  <c r="K209" i="1"/>
  <c r="L209" i="1" s="1"/>
  <c r="G209" i="1"/>
  <c r="H209" i="1" s="1"/>
  <c r="K208" i="1"/>
  <c r="L208" i="1" s="1"/>
  <c r="G208" i="1"/>
  <c r="H208" i="1" s="1"/>
  <c r="K207" i="1"/>
  <c r="L207" i="1" s="1"/>
  <c r="G207" i="1"/>
  <c r="H207" i="1" s="1"/>
  <c r="K206" i="1"/>
  <c r="L206" i="1" s="1"/>
  <c r="G206" i="1"/>
  <c r="H206" i="1" s="1"/>
  <c r="K205" i="1"/>
  <c r="L205" i="1" s="1"/>
  <c r="G205" i="1"/>
  <c r="H205" i="1" s="1"/>
  <c r="K204" i="1"/>
  <c r="L204" i="1" s="1"/>
  <c r="G204" i="1"/>
  <c r="H204" i="1" s="1"/>
  <c r="K203" i="1"/>
  <c r="L203" i="1" s="1"/>
  <c r="H203" i="1"/>
  <c r="G203" i="1"/>
  <c r="K202" i="1"/>
  <c r="L202" i="1" s="1"/>
  <c r="G202" i="1"/>
  <c r="H202" i="1" s="1"/>
  <c r="K201" i="1"/>
  <c r="L201" i="1" s="1"/>
  <c r="G201" i="1"/>
  <c r="H201" i="1" s="1"/>
  <c r="K200" i="1"/>
  <c r="L200" i="1" s="1"/>
  <c r="G200" i="1"/>
  <c r="H200" i="1" s="1"/>
  <c r="K199" i="1"/>
  <c r="L199" i="1" s="1"/>
  <c r="G199" i="1"/>
  <c r="H199" i="1" s="1"/>
  <c r="K198" i="1"/>
  <c r="L198" i="1" s="1"/>
  <c r="G198" i="1"/>
  <c r="H198" i="1" s="1"/>
  <c r="K197" i="1"/>
  <c r="L197" i="1" s="1"/>
  <c r="G197" i="1"/>
  <c r="H197" i="1" s="1"/>
  <c r="K196" i="1"/>
  <c r="L196" i="1" s="1"/>
  <c r="G196" i="1"/>
  <c r="H196" i="1" s="1"/>
  <c r="K195" i="1"/>
  <c r="L195" i="1" s="1"/>
  <c r="G195" i="1"/>
  <c r="H195" i="1" s="1"/>
  <c r="K194" i="1"/>
  <c r="L194" i="1" s="1"/>
  <c r="G194" i="1"/>
  <c r="H194" i="1" s="1"/>
  <c r="K193" i="1"/>
  <c r="L193" i="1" s="1"/>
  <c r="G193" i="1"/>
  <c r="H193" i="1" s="1"/>
  <c r="K192" i="1"/>
  <c r="L192" i="1" s="1"/>
  <c r="H192" i="1"/>
  <c r="G192" i="1"/>
  <c r="K191" i="1"/>
  <c r="L191" i="1" s="1"/>
  <c r="G191" i="1"/>
  <c r="H191" i="1" s="1"/>
  <c r="K190" i="1"/>
  <c r="L190" i="1" s="1"/>
  <c r="G190" i="1"/>
  <c r="H190" i="1" s="1"/>
  <c r="K189" i="1"/>
  <c r="L189" i="1" s="1"/>
  <c r="G189" i="1"/>
  <c r="H189" i="1" s="1"/>
  <c r="K188" i="1"/>
  <c r="L188" i="1" s="1"/>
  <c r="G188" i="1"/>
  <c r="H188" i="1" s="1"/>
  <c r="K187" i="1"/>
  <c r="L187" i="1" s="1"/>
  <c r="G187" i="1"/>
  <c r="H187" i="1" s="1"/>
  <c r="K186" i="1"/>
  <c r="L186" i="1" s="1"/>
  <c r="G186" i="1"/>
  <c r="H186" i="1" s="1"/>
  <c r="K185" i="1"/>
  <c r="L185" i="1" s="1"/>
  <c r="G185" i="1"/>
  <c r="H185" i="1" s="1"/>
  <c r="K184" i="1"/>
  <c r="L184" i="1" s="1"/>
  <c r="G184" i="1"/>
  <c r="H184" i="1" s="1"/>
  <c r="K183" i="1"/>
  <c r="L183" i="1" s="1"/>
  <c r="G183" i="1"/>
  <c r="H183" i="1" s="1"/>
  <c r="K182" i="1"/>
  <c r="L182" i="1" s="1"/>
  <c r="G182" i="1"/>
  <c r="H182" i="1" s="1"/>
  <c r="K181" i="1"/>
  <c r="L181" i="1" s="1"/>
  <c r="H181" i="1"/>
  <c r="G181" i="1"/>
  <c r="K180" i="1"/>
  <c r="L180" i="1" s="1"/>
  <c r="G180" i="1"/>
  <c r="H180" i="1" s="1"/>
  <c r="K179" i="1"/>
  <c r="L179" i="1" s="1"/>
  <c r="G179" i="1"/>
  <c r="H179" i="1" s="1"/>
  <c r="K178" i="1"/>
  <c r="L178" i="1" s="1"/>
  <c r="G178" i="1"/>
  <c r="H178" i="1" s="1"/>
  <c r="K177" i="1"/>
  <c r="L177" i="1" s="1"/>
  <c r="G177" i="1"/>
  <c r="H177" i="1" s="1"/>
  <c r="K176" i="1"/>
  <c r="L176" i="1" s="1"/>
  <c r="G176" i="1"/>
  <c r="H176" i="1" s="1"/>
  <c r="K175" i="1"/>
  <c r="L175" i="1" s="1"/>
  <c r="G175" i="1"/>
  <c r="H175" i="1" s="1"/>
  <c r="K174" i="1"/>
  <c r="L174" i="1" s="1"/>
  <c r="G174" i="1"/>
  <c r="H174" i="1" s="1"/>
  <c r="K173" i="1"/>
  <c r="L173" i="1" s="1"/>
  <c r="G173" i="1"/>
  <c r="H173" i="1" s="1"/>
  <c r="K172" i="1"/>
  <c r="L172" i="1" s="1"/>
  <c r="G172" i="1"/>
  <c r="H172" i="1" s="1"/>
  <c r="K171" i="1"/>
  <c r="L171" i="1" s="1"/>
  <c r="G171" i="1"/>
  <c r="H171" i="1" s="1"/>
  <c r="K170" i="1"/>
  <c r="L170" i="1" s="1"/>
  <c r="H170" i="1"/>
  <c r="G170" i="1"/>
  <c r="K169" i="1"/>
  <c r="L169" i="1" s="1"/>
  <c r="G169" i="1"/>
  <c r="H169" i="1" s="1"/>
  <c r="K168" i="1"/>
  <c r="L168" i="1" s="1"/>
  <c r="G168" i="1"/>
  <c r="H168" i="1" s="1"/>
  <c r="K167" i="1"/>
  <c r="L167" i="1" s="1"/>
  <c r="G167" i="1"/>
  <c r="H167" i="1" s="1"/>
  <c r="K166" i="1"/>
  <c r="L166" i="1" s="1"/>
  <c r="G166" i="1"/>
  <c r="H166" i="1" s="1"/>
  <c r="K165" i="1"/>
  <c r="L165" i="1" s="1"/>
  <c r="G165" i="1"/>
  <c r="H165" i="1" s="1"/>
  <c r="K164" i="1"/>
  <c r="L164" i="1" s="1"/>
  <c r="G164" i="1"/>
  <c r="H164" i="1" s="1"/>
  <c r="K163" i="1"/>
  <c r="L163" i="1" s="1"/>
  <c r="G163" i="1"/>
  <c r="H163" i="1" s="1"/>
  <c r="K162" i="1"/>
  <c r="L162" i="1" s="1"/>
  <c r="G162" i="1"/>
  <c r="H162" i="1" s="1"/>
  <c r="K161" i="1"/>
  <c r="L161" i="1" s="1"/>
  <c r="G161" i="1"/>
  <c r="H161" i="1" s="1"/>
  <c r="K160" i="1"/>
  <c r="L160" i="1" s="1"/>
  <c r="G160" i="1"/>
  <c r="H160" i="1" s="1"/>
  <c r="K159" i="1"/>
  <c r="L159" i="1" s="1"/>
  <c r="H159" i="1"/>
  <c r="G159" i="1"/>
  <c r="K158" i="1"/>
  <c r="L158" i="1" s="1"/>
  <c r="G158" i="1"/>
  <c r="H158" i="1" s="1"/>
  <c r="K157" i="1"/>
  <c r="L157" i="1" s="1"/>
  <c r="G157" i="1"/>
  <c r="H157" i="1" s="1"/>
  <c r="K156" i="1"/>
  <c r="L156" i="1" s="1"/>
  <c r="G156" i="1"/>
  <c r="H156" i="1" s="1"/>
  <c r="K155" i="1"/>
  <c r="L155" i="1" s="1"/>
  <c r="G155" i="1"/>
  <c r="H155" i="1" s="1"/>
  <c r="K154" i="1"/>
  <c r="L154" i="1" s="1"/>
  <c r="G154" i="1"/>
  <c r="H154" i="1" s="1"/>
  <c r="K153" i="1"/>
  <c r="L153" i="1" s="1"/>
  <c r="G153" i="1"/>
  <c r="H153" i="1" s="1"/>
  <c r="K152" i="1"/>
  <c r="L152" i="1" s="1"/>
  <c r="G152" i="1"/>
  <c r="H152" i="1" s="1"/>
  <c r="K151" i="1"/>
  <c r="L151" i="1" s="1"/>
  <c r="G151" i="1"/>
  <c r="H151" i="1" s="1"/>
  <c r="K150" i="1"/>
  <c r="L150" i="1" s="1"/>
  <c r="G150" i="1"/>
  <c r="H150" i="1" s="1"/>
  <c r="K149" i="1"/>
  <c r="L149" i="1" s="1"/>
  <c r="G149" i="1"/>
  <c r="H149" i="1" s="1"/>
  <c r="K148" i="1"/>
  <c r="L148" i="1" s="1"/>
  <c r="H148" i="1"/>
  <c r="G148" i="1"/>
  <c r="K147" i="1"/>
  <c r="L147" i="1" s="1"/>
  <c r="G147" i="1"/>
  <c r="H147" i="1" s="1"/>
  <c r="K146" i="1"/>
  <c r="L146" i="1" s="1"/>
  <c r="G146" i="1"/>
  <c r="H146" i="1" s="1"/>
  <c r="K145" i="1"/>
  <c r="L145" i="1" s="1"/>
  <c r="G145" i="1"/>
  <c r="H145" i="1" s="1"/>
  <c r="K144" i="1"/>
  <c r="L144" i="1" s="1"/>
  <c r="G144" i="1"/>
  <c r="H144" i="1" s="1"/>
  <c r="K143" i="1"/>
  <c r="L143" i="1" s="1"/>
  <c r="G143" i="1"/>
  <c r="H143" i="1" s="1"/>
  <c r="L142" i="1"/>
  <c r="K142" i="1"/>
  <c r="G142" i="1"/>
  <c r="H142" i="1" s="1"/>
  <c r="K141" i="1"/>
  <c r="L141" i="1" s="1"/>
  <c r="G141" i="1"/>
  <c r="H141" i="1" s="1"/>
  <c r="K140" i="1"/>
  <c r="L140" i="1" s="1"/>
  <c r="G140" i="1"/>
  <c r="H140" i="1" s="1"/>
  <c r="K139" i="1"/>
  <c r="L139" i="1" s="1"/>
  <c r="G139" i="1"/>
  <c r="H139" i="1" s="1"/>
  <c r="K138" i="1"/>
  <c r="L138" i="1" s="1"/>
  <c r="G138" i="1"/>
  <c r="H138" i="1" s="1"/>
  <c r="K137" i="1"/>
  <c r="L137" i="1" s="1"/>
  <c r="H137" i="1"/>
  <c r="G137" i="1"/>
  <c r="K136" i="1"/>
  <c r="L136" i="1" s="1"/>
  <c r="G136" i="1"/>
  <c r="H136" i="1" s="1"/>
  <c r="K135" i="1"/>
  <c r="L135" i="1" s="1"/>
  <c r="G135" i="1"/>
  <c r="H135" i="1" s="1"/>
  <c r="K134" i="1"/>
  <c r="L134" i="1" s="1"/>
  <c r="G134" i="1"/>
  <c r="H134" i="1" s="1"/>
  <c r="K133" i="1"/>
  <c r="L133" i="1" s="1"/>
  <c r="G133" i="1"/>
  <c r="H133" i="1" s="1"/>
  <c r="K132" i="1"/>
  <c r="G132" i="1"/>
  <c r="H132" i="1" s="1"/>
  <c r="K131" i="1"/>
  <c r="L131" i="1" s="1"/>
  <c r="G131" i="1"/>
  <c r="H131" i="1" s="1"/>
  <c r="F125" i="1"/>
  <c r="E125" i="1"/>
  <c r="D125" i="1"/>
  <c r="K124" i="1"/>
  <c r="L124" i="1" s="1"/>
  <c r="H124" i="1"/>
  <c r="G124" i="1"/>
  <c r="K123" i="1"/>
  <c r="L123" i="1" s="1"/>
  <c r="G123" i="1"/>
  <c r="H123" i="1" s="1"/>
  <c r="K122" i="1"/>
  <c r="L122" i="1" s="1"/>
  <c r="G122" i="1"/>
  <c r="H122" i="1" s="1"/>
  <c r="K121" i="1"/>
  <c r="L121" i="1" s="1"/>
  <c r="G121" i="1"/>
  <c r="H121" i="1" s="1"/>
  <c r="K120" i="1"/>
  <c r="L120" i="1" s="1"/>
  <c r="G120" i="1"/>
  <c r="H120" i="1" s="1"/>
  <c r="K119" i="1"/>
  <c r="L119" i="1" s="1"/>
  <c r="H119" i="1"/>
  <c r="G119" i="1"/>
  <c r="K118" i="1"/>
  <c r="L118" i="1" s="1"/>
  <c r="G118" i="1"/>
  <c r="H118" i="1" s="1"/>
  <c r="L117" i="1"/>
  <c r="K117" i="1"/>
  <c r="G117" i="1"/>
  <c r="H117" i="1" s="1"/>
  <c r="K116" i="1"/>
  <c r="L116" i="1" s="1"/>
  <c r="H116" i="1"/>
  <c r="G116" i="1"/>
  <c r="K115" i="1"/>
  <c r="L115" i="1" s="1"/>
  <c r="H115" i="1"/>
  <c r="G115" i="1"/>
  <c r="K114" i="1"/>
  <c r="L114" i="1" s="1"/>
  <c r="G114" i="1"/>
  <c r="H114" i="1" s="1"/>
  <c r="K113" i="1"/>
  <c r="L113" i="1" s="1"/>
  <c r="H113" i="1"/>
  <c r="G113" i="1"/>
  <c r="K112" i="1"/>
  <c r="L112" i="1" s="1"/>
  <c r="G112" i="1"/>
  <c r="H112" i="1" s="1"/>
  <c r="K111" i="1"/>
  <c r="L111" i="1" s="1"/>
  <c r="H111" i="1"/>
  <c r="G111" i="1"/>
  <c r="L110" i="1"/>
  <c r="K110" i="1"/>
  <c r="G110" i="1"/>
  <c r="H110" i="1" s="1"/>
  <c r="K109" i="1"/>
  <c r="L109" i="1" s="1"/>
  <c r="G109" i="1"/>
  <c r="H109" i="1" s="1"/>
  <c r="K108" i="1"/>
  <c r="L108" i="1" s="1"/>
  <c r="H108" i="1"/>
  <c r="G108" i="1"/>
  <c r="K107" i="1"/>
  <c r="L107" i="1" s="1"/>
  <c r="G107" i="1"/>
  <c r="H107" i="1" s="1"/>
  <c r="K106" i="1"/>
  <c r="L106" i="1" s="1"/>
  <c r="G106" i="1"/>
  <c r="H106" i="1" s="1"/>
  <c r="K105" i="1"/>
  <c r="L105" i="1" s="1"/>
  <c r="H105" i="1"/>
  <c r="G105" i="1"/>
  <c r="K104" i="1"/>
  <c r="L104" i="1" s="1"/>
  <c r="H104" i="1"/>
  <c r="G104" i="1"/>
  <c r="K103" i="1"/>
  <c r="L103" i="1" s="1"/>
  <c r="G103" i="1"/>
  <c r="H103" i="1" s="1"/>
  <c r="L102" i="1"/>
  <c r="K102" i="1"/>
  <c r="G102" i="1"/>
  <c r="H102" i="1" s="1"/>
  <c r="K101" i="1"/>
  <c r="L101" i="1" s="1"/>
  <c r="G101" i="1"/>
  <c r="H101" i="1" s="1"/>
  <c r="K100" i="1"/>
  <c r="L100" i="1" s="1"/>
  <c r="G100" i="1"/>
  <c r="H100" i="1" s="1"/>
  <c r="K99" i="1"/>
  <c r="L99" i="1" s="1"/>
  <c r="G99" i="1"/>
  <c r="H99" i="1" s="1"/>
  <c r="L98" i="1"/>
  <c r="K98" i="1"/>
  <c r="G98" i="1"/>
  <c r="H98" i="1" s="1"/>
  <c r="K97" i="1"/>
  <c r="L97" i="1" s="1"/>
  <c r="H97" i="1"/>
  <c r="G97" i="1"/>
  <c r="K96" i="1"/>
  <c r="L96" i="1" s="1"/>
  <c r="G96" i="1"/>
  <c r="H96" i="1" s="1"/>
  <c r="K95" i="1"/>
  <c r="L95" i="1" s="1"/>
  <c r="G95" i="1"/>
  <c r="H95" i="1" s="1"/>
  <c r="K94" i="1"/>
  <c r="L94" i="1" s="1"/>
  <c r="H94" i="1"/>
  <c r="G94" i="1"/>
  <c r="K93" i="1"/>
  <c r="L93" i="1" s="1"/>
  <c r="H93" i="1"/>
  <c r="G93" i="1"/>
  <c r="K92" i="1"/>
  <c r="L92" i="1" s="1"/>
  <c r="G92" i="1"/>
  <c r="H92" i="1" s="1"/>
  <c r="K91" i="1"/>
  <c r="L91" i="1" s="1"/>
  <c r="G91" i="1"/>
  <c r="H91" i="1" s="1"/>
  <c r="K90" i="1"/>
  <c r="L90" i="1" s="1"/>
  <c r="G90" i="1"/>
  <c r="H90" i="1" s="1"/>
  <c r="K89" i="1"/>
  <c r="L89" i="1" s="1"/>
  <c r="G89" i="1"/>
  <c r="H89" i="1" s="1"/>
  <c r="K88" i="1"/>
  <c r="L88" i="1" s="1"/>
  <c r="G88" i="1"/>
  <c r="H88" i="1" s="1"/>
  <c r="K87" i="1"/>
  <c r="L87" i="1" s="1"/>
  <c r="G87" i="1"/>
  <c r="H87" i="1" s="1"/>
  <c r="K86" i="1"/>
  <c r="L86" i="1" s="1"/>
  <c r="H86" i="1"/>
  <c r="G86" i="1"/>
  <c r="K85" i="1"/>
  <c r="L85" i="1" s="1"/>
  <c r="G85" i="1"/>
  <c r="H85" i="1" s="1"/>
  <c r="K84" i="1"/>
  <c r="L84" i="1" s="1"/>
  <c r="H84" i="1"/>
  <c r="G84" i="1"/>
  <c r="K83" i="1"/>
  <c r="L83" i="1" s="1"/>
  <c r="H83" i="1"/>
  <c r="G83" i="1"/>
  <c r="K82" i="1"/>
  <c r="L82" i="1" s="1"/>
  <c r="H82" i="1"/>
  <c r="G82" i="1"/>
  <c r="K81" i="1"/>
  <c r="L81" i="1" s="1"/>
  <c r="G81" i="1"/>
  <c r="H81" i="1" s="1"/>
  <c r="K80" i="1"/>
  <c r="L80" i="1" s="1"/>
  <c r="G80" i="1"/>
  <c r="H80" i="1" s="1"/>
  <c r="K79" i="1"/>
  <c r="L79" i="1" s="1"/>
  <c r="G79" i="1"/>
  <c r="H79" i="1" s="1"/>
  <c r="K78" i="1"/>
  <c r="L78" i="1" s="1"/>
  <c r="G78" i="1"/>
  <c r="H78" i="1" s="1"/>
  <c r="K77" i="1"/>
  <c r="L77" i="1" s="1"/>
  <c r="G77" i="1"/>
  <c r="H77" i="1" s="1"/>
  <c r="K76" i="1"/>
  <c r="L76" i="1" s="1"/>
  <c r="G76" i="1"/>
  <c r="H76" i="1" s="1"/>
  <c r="K75" i="1"/>
  <c r="L75" i="1" s="1"/>
  <c r="H75" i="1"/>
  <c r="G75" i="1"/>
  <c r="K74" i="1"/>
  <c r="L74" i="1" s="1"/>
  <c r="G74" i="1"/>
  <c r="H74" i="1" s="1"/>
  <c r="K73" i="1"/>
  <c r="L73" i="1" s="1"/>
  <c r="G73" i="1"/>
  <c r="H73" i="1" s="1"/>
  <c r="K72" i="1"/>
  <c r="L72" i="1" s="1"/>
  <c r="H72" i="1"/>
  <c r="G72" i="1"/>
  <c r="K71" i="1"/>
  <c r="L71" i="1" s="1"/>
  <c r="H71" i="1"/>
  <c r="G71" i="1"/>
  <c r="K70" i="1"/>
  <c r="L70" i="1" s="1"/>
  <c r="G70" i="1"/>
  <c r="H70" i="1" s="1"/>
  <c r="K69" i="1"/>
  <c r="L69" i="1" s="1"/>
  <c r="G69" i="1"/>
  <c r="H69" i="1" s="1"/>
  <c r="K68" i="1"/>
  <c r="L68" i="1" s="1"/>
  <c r="H68" i="1"/>
  <c r="G68" i="1"/>
  <c r="K67" i="1"/>
  <c r="L67" i="1" s="1"/>
  <c r="H67" i="1"/>
  <c r="G67" i="1"/>
  <c r="K66" i="1"/>
  <c r="L66" i="1" s="1"/>
  <c r="G66" i="1"/>
  <c r="H66" i="1" s="1"/>
  <c r="L65" i="1"/>
  <c r="K65" i="1"/>
  <c r="G65" i="1"/>
  <c r="H65" i="1" s="1"/>
  <c r="K64" i="1"/>
  <c r="L64" i="1" s="1"/>
  <c r="H64" i="1"/>
  <c r="G64" i="1"/>
  <c r="K63" i="1"/>
  <c r="L63" i="1" s="1"/>
  <c r="G63" i="1"/>
  <c r="H63" i="1" s="1"/>
  <c r="K62" i="1"/>
  <c r="L62" i="1" s="1"/>
  <c r="G62" i="1"/>
  <c r="H62" i="1" s="1"/>
  <c r="K61" i="1"/>
  <c r="L61" i="1" s="1"/>
  <c r="H61" i="1"/>
  <c r="G61" i="1"/>
  <c r="K60" i="1"/>
  <c r="L60" i="1" s="1"/>
  <c r="H60" i="1"/>
  <c r="G60" i="1"/>
  <c r="K59" i="1"/>
  <c r="L59" i="1" s="1"/>
  <c r="G59" i="1"/>
  <c r="H59" i="1" s="1"/>
  <c r="K58" i="1"/>
  <c r="L58" i="1" s="1"/>
  <c r="G58" i="1"/>
  <c r="H58" i="1" s="1"/>
  <c r="K57" i="1"/>
  <c r="L57" i="1" s="1"/>
  <c r="G57" i="1"/>
  <c r="H57" i="1" s="1"/>
  <c r="K56" i="1"/>
  <c r="L56" i="1" s="1"/>
  <c r="H56" i="1"/>
  <c r="G56" i="1"/>
  <c r="K55" i="1"/>
  <c r="L55" i="1" s="1"/>
  <c r="G55" i="1"/>
  <c r="H55" i="1" s="1"/>
  <c r="K54" i="1"/>
  <c r="L54" i="1" s="1"/>
  <c r="G54" i="1"/>
  <c r="H54" i="1" s="1"/>
  <c r="K53" i="1"/>
  <c r="L53" i="1" s="1"/>
  <c r="H53" i="1"/>
  <c r="G53" i="1"/>
  <c r="K52" i="1"/>
  <c r="L52" i="1" s="1"/>
  <c r="G52" i="1"/>
  <c r="H52" i="1" s="1"/>
  <c r="K51" i="1"/>
  <c r="L51" i="1" s="1"/>
  <c r="G51" i="1"/>
  <c r="H51" i="1" s="1"/>
  <c r="K50" i="1"/>
  <c r="L50" i="1" s="1"/>
  <c r="H50" i="1"/>
  <c r="G50" i="1"/>
  <c r="K49" i="1"/>
  <c r="L49" i="1" s="1"/>
  <c r="H49" i="1"/>
  <c r="G49" i="1"/>
  <c r="K48" i="1"/>
  <c r="L48" i="1" s="1"/>
  <c r="G48" i="1"/>
  <c r="H48" i="1" s="1"/>
  <c r="K47" i="1"/>
  <c r="L47" i="1" s="1"/>
  <c r="G47" i="1"/>
  <c r="H47" i="1" s="1"/>
  <c r="K46" i="1"/>
  <c r="L46" i="1" s="1"/>
  <c r="G46" i="1"/>
  <c r="H46" i="1" s="1"/>
  <c r="K45" i="1"/>
  <c r="L45" i="1" s="1"/>
  <c r="G45" i="1"/>
  <c r="H45" i="1" s="1"/>
  <c r="K44" i="1"/>
  <c r="L44" i="1" s="1"/>
  <c r="G44" i="1"/>
  <c r="H44" i="1" s="1"/>
  <c r="K43" i="1"/>
  <c r="L43" i="1" s="1"/>
  <c r="G43" i="1"/>
  <c r="H43" i="1" s="1"/>
  <c r="K42" i="1"/>
  <c r="L42" i="1" s="1"/>
  <c r="H42" i="1"/>
  <c r="G42" i="1"/>
  <c r="K41" i="1"/>
  <c r="L41" i="1" s="1"/>
  <c r="G41" i="1"/>
  <c r="H41" i="1" s="1"/>
  <c r="K40" i="1"/>
  <c r="L40" i="1" s="1"/>
  <c r="G40" i="1"/>
  <c r="H40" i="1" s="1"/>
  <c r="K39" i="1"/>
  <c r="L39" i="1" s="1"/>
  <c r="H39" i="1"/>
  <c r="G39" i="1"/>
  <c r="K38" i="1"/>
  <c r="L38" i="1" s="1"/>
  <c r="H38" i="1"/>
  <c r="G38" i="1"/>
  <c r="K37" i="1"/>
  <c r="L37" i="1" s="1"/>
  <c r="G37" i="1"/>
  <c r="H37" i="1" s="1"/>
  <c r="L36" i="1"/>
  <c r="K36" i="1"/>
  <c r="G36" i="1"/>
  <c r="H36" i="1" s="1"/>
  <c r="K35" i="1"/>
  <c r="L35" i="1" s="1"/>
  <c r="G35" i="1"/>
  <c r="H35" i="1" s="1"/>
  <c r="K34" i="1"/>
  <c r="L34" i="1" s="1"/>
  <c r="G34" i="1"/>
  <c r="H34" i="1" s="1"/>
  <c r="K33" i="1"/>
  <c r="L33" i="1" s="1"/>
  <c r="G33" i="1"/>
  <c r="H33" i="1" s="1"/>
  <c r="K32" i="1"/>
  <c r="L32" i="1" s="1"/>
  <c r="G32" i="1"/>
  <c r="H32" i="1" s="1"/>
  <c r="K31" i="1"/>
  <c r="L31" i="1" s="1"/>
  <c r="H31" i="1"/>
  <c r="G31" i="1"/>
  <c r="K30" i="1"/>
  <c r="L30" i="1" s="1"/>
  <c r="G30" i="1"/>
  <c r="H30" i="1" s="1"/>
  <c r="K29" i="1"/>
  <c r="L29" i="1" s="1"/>
  <c r="H29" i="1"/>
  <c r="G29" i="1"/>
  <c r="K28" i="1"/>
  <c r="L28" i="1" s="1"/>
  <c r="H28" i="1"/>
  <c r="G28" i="1"/>
  <c r="K27" i="1"/>
  <c r="L27" i="1" s="1"/>
  <c r="H27" i="1"/>
  <c r="G27" i="1"/>
  <c r="K26" i="1"/>
  <c r="L26" i="1" s="1"/>
  <c r="G26" i="1"/>
  <c r="H26" i="1" s="1"/>
  <c r="K25" i="1"/>
  <c r="L25" i="1" s="1"/>
  <c r="G25" i="1"/>
  <c r="H25" i="1" s="1"/>
  <c r="K24" i="1"/>
  <c r="L24" i="1" s="1"/>
  <c r="H24" i="1"/>
  <c r="G24" i="1"/>
  <c r="K23" i="1"/>
  <c r="L23" i="1" s="1"/>
  <c r="G23" i="1"/>
  <c r="H23" i="1" s="1"/>
  <c r="K22" i="1"/>
  <c r="L22" i="1" s="1"/>
  <c r="G22" i="1"/>
  <c r="H22" i="1" s="1"/>
  <c r="K21" i="1"/>
  <c r="L21" i="1" s="1"/>
  <c r="G21" i="1"/>
  <c r="H21" i="1" s="1"/>
  <c r="K20" i="1"/>
  <c r="L20" i="1" s="1"/>
  <c r="H20" i="1"/>
  <c r="G20" i="1"/>
  <c r="K19" i="1"/>
  <c r="L19" i="1" s="1"/>
  <c r="G19" i="1"/>
  <c r="H19" i="1" s="1"/>
  <c r="K18" i="1"/>
  <c r="L18" i="1" s="1"/>
  <c r="G18" i="1"/>
  <c r="H18" i="1" s="1"/>
  <c r="K17" i="1"/>
  <c r="L17" i="1" s="1"/>
  <c r="H17" i="1"/>
  <c r="G17" i="1"/>
  <c r="K16" i="1"/>
  <c r="L16" i="1" s="1"/>
  <c r="H16" i="1"/>
  <c r="G16" i="1"/>
  <c r="K15" i="1"/>
  <c r="L15" i="1" s="1"/>
  <c r="G15" i="1"/>
  <c r="H15" i="1" s="1"/>
  <c r="K14" i="1"/>
  <c r="L14" i="1" s="1"/>
  <c r="G14" i="1"/>
  <c r="H14" i="1" s="1"/>
  <c r="K13" i="1"/>
  <c r="L13" i="1" s="1"/>
  <c r="H13" i="1"/>
  <c r="G13" i="1"/>
  <c r="K12" i="1"/>
  <c r="L12" i="1" s="1"/>
  <c r="G12" i="1"/>
  <c r="H12" i="1" s="1"/>
  <c r="K11" i="1"/>
  <c r="L11" i="1" s="1"/>
  <c r="G11" i="1"/>
  <c r="H11" i="1" s="1"/>
  <c r="K10" i="1"/>
  <c r="L10" i="1" s="1"/>
  <c r="G10" i="1"/>
  <c r="H10" i="1" s="1"/>
  <c r="K9" i="1"/>
  <c r="L9" i="1" s="1"/>
  <c r="H9" i="1"/>
  <c r="G9" i="1"/>
  <c r="K8" i="1"/>
  <c r="L8" i="1" s="1"/>
  <c r="G8" i="1"/>
  <c r="H8" i="1" s="1"/>
  <c r="K7" i="1"/>
  <c r="L7" i="1" s="1"/>
  <c r="G7" i="1"/>
  <c r="H7" i="1" s="1"/>
  <c r="K6" i="1"/>
  <c r="L6" i="1" s="1"/>
  <c r="H6" i="1"/>
  <c r="G6" i="1"/>
  <c r="K5" i="1"/>
  <c r="H5" i="1"/>
  <c r="G5" i="1"/>
  <c r="N97" i="8" l="1"/>
  <c r="N75" i="8"/>
  <c r="N96" i="8"/>
  <c r="N74" i="8"/>
  <c r="N88" i="8"/>
  <c r="N66" i="8"/>
  <c r="F85" i="8"/>
  <c r="G85" i="8" s="1"/>
  <c r="N87" i="8"/>
  <c r="N65" i="8"/>
  <c r="N70" i="8"/>
  <c r="N91" i="8"/>
  <c r="N90" i="8"/>
  <c r="N67" i="8"/>
  <c r="N92" i="8"/>
  <c r="N69" i="8"/>
  <c r="N68" i="8"/>
  <c r="N89" i="8"/>
  <c r="N72" i="8"/>
  <c r="N71" i="8"/>
  <c r="N83" i="8"/>
  <c r="N61" i="8"/>
  <c r="N82" i="8"/>
  <c r="N60" i="8"/>
  <c r="N81" i="8"/>
  <c r="N59" i="8"/>
  <c r="N102" i="8" s="1"/>
  <c r="N101" i="8"/>
  <c r="N79" i="8"/>
  <c r="N94" i="8"/>
  <c r="N93" i="8"/>
  <c r="J61" i="8"/>
  <c r="K61" i="8" s="1"/>
  <c r="N99" i="8"/>
  <c r="N77" i="8"/>
  <c r="F84" i="8"/>
  <c r="G84" i="8" s="1"/>
  <c r="F87" i="8"/>
  <c r="G87" i="8" s="1"/>
  <c r="J81" i="8"/>
  <c r="K81" i="8" s="1"/>
  <c r="F86" i="8"/>
  <c r="G86" i="8" s="1"/>
  <c r="F89" i="8"/>
  <c r="G89" i="8" s="1"/>
  <c r="F88" i="8"/>
  <c r="G88" i="8" s="1"/>
  <c r="F66" i="8"/>
  <c r="G66" i="8" s="1"/>
  <c r="J93" i="8"/>
  <c r="K93" i="8" s="1"/>
  <c r="F73" i="8"/>
  <c r="G73" i="8" s="1"/>
  <c r="J94" i="8"/>
  <c r="K94" i="8" s="1"/>
  <c r="F95" i="8"/>
  <c r="G95" i="8" s="1"/>
  <c r="F74" i="8"/>
  <c r="G74" i="8" s="1"/>
  <c r="F96" i="8"/>
  <c r="G96" i="8" s="1"/>
  <c r="C102" i="8"/>
  <c r="F72" i="8"/>
  <c r="G72" i="8" s="1"/>
  <c r="F75" i="8"/>
  <c r="G75" i="8" s="1"/>
  <c r="F99" i="8"/>
  <c r="G99" i="8" s="1"/>
  <c r="F98" i="8"/>
  <c r="G98" i="8" s="1"/>
  <c r="F97" i="8"/>
  <c r="G97" i="8" s="1"/>
  <c r="F77" i="8"/>
  <c r="G77" i="8" s="1"/>
  <c r="J90" i="8"/>
  <c r="K90" i="8" s="1"/>
  <c r="J69" i="8"/>
  <c r="K69" i="8" s="1"/>
  <c r="K102" i="8" s="1"/>
  <c r="J76" i="8"/>
  <c r="K76" i="8" s="1"/>
  <c r="J78" i="8"/>
  <c r="K78" i="8" s="1"/>
  <c r="J100" i="8"/>
  <c r="K100" i="8" s="1"/>
  <c r="F70" i="8"/>
  <c r="G70" i="8" s="1"/>
  <c r="F60" i="8"/>
  <c r="G60" i="8" s="1"/>
  <c r="F71" i="8"/>
  <c r="G71" i="8" s="1"/>
  <c r="F82" i="8"/>
  <c r="G82" i="8" s="1"/>
  <c r="F68" i="8"/>
  <c r="G68" i="8" s="1"/>
  <c r="F79" i="8"/>
  <c r="G79" i="8" s="1"/>
  <c r="F101" i="8"/>
  <c r="G101" i="8" s="1"/>
  <c r="F91" i="8"/>
  <c r="G91" i="8" s="1"/>
  <c r="F92" i="8"/>
  <c r="G92" i="8" s="1"/>
  <c r="N21" i="8"/>
  <c r="F42" i="8"/>
  <c r="G42" i="8" s="1"/>
  <c r="N42" i="8"/>
  <c r="N20" i="8"/>
  <c r="N10" i="8"/>
  <c r="F31" i="8"/>
  <c r="G31" i="8" s="1"/>
  <c r="F32" i="8"/>
  <c r="G32" i="8" s="1"/>
  <c r="J13" i="8"/>
  <c r="K13" i="8" s="1"/>
  <c r="J32" i="8"/>
  <c r="K32" i="8" s="1"/>
  <c r="N13" i="8"/>
  <c r="J23" i="8"/>
  <c r="K23" i="8" s="1"/>
  <c r="F43" i="8"/>
  <c r="G43" i="8" s="1"/>
  <c r="J43" i="8"/>
  <c r="K43" i="8" s="1"/>
  <c r="J14" i="8"/>
  <c r="K14" i="8" s="1"/>
  <c r="J24" i="8"/>
  <c r="K24" i="8" s="1"/>
  <c r="N14" i="8"/>
  <c r="N24" i="8"/>
  <c r="J6" i="8"/>
  <c r="K6" i="8" s="1"/>
  <c r="J35" i="8"/>
  <c r="K35" i="8" s="1"/>
  <c r="J25" i="8"/>
  <c r="K25" i="8" s="1"/>
  <c r="N35" i="8"/>
  <c r="F7" i="8"/>
  <c r="G7" i="8" s="1"/>
  <c r="N25" i="8"/>
  <c r="J46" i="8"/>
  <c r="K46" i="8" s="1"/>
  <c r="J17" i="8"/>
  <c r="K17" i="8" s="1"/>
  <c r="J36" i="8"/>
  <c r="K36" i="8" s="1"/>
  <c r="N46" i="8"/>
  <c r="J7" i="8"/>
  <c r="K7" i="8" s="1"/>
  <c r="N36" i="8"/>
  <c r="F18" i="8"/>
  <c r="G18" i="8" s="1"/>
  <c r="J47" i="8"/>
  <c r="K47" i="8" s="1"/>
  <c r="J18" i="8"/>
  <c r="K18" i="8" s="1"/>
  <c r="J28" i="8"/>
  <c r="K28" i="8" s="1"/>
  <c r="N47" i="8"/>
  <c r="F9" i="8"/>
  <c r="G9" i="8" s="1"/>
  <c r="F29" i="8"/>
  <c r="G29" i="8" s="1"/>
  <c r="J39" i="8"/>
  <c r="K39" i="8" s="1"/>
  <c r="N9" i="8"/>
  <c r="J29" i="8"/>
  <c r="K29" i="8" s="1"/>
  <c r="F20" i="8"/>
  <c r="G20" i="8" s="1"/>
  <c r="F40" i="8"/>
  <c r="G40" i="8" s="1"/>
  <c r="F10" i="8"/>
  <c r="G10" i="8" s="1"/>
  <c r="J40" i="8"/>
  <c r="K40" i="8" s="1"/>
  <c r="F21" i="8"/>
  <c r="G21" i="8" s="1"/>
  <c r="N31" i="8"/>
  <c r="J11" i="8"/>
  <c r="K11" i="8" s="1"/>
  <c r="F11" i="8"/>
  <c r="G11" i="8" s="1"/>
  <c r="N11" i="8"/>
  <c r="C50" i="8"/>
  <c r="F6" i="8"/>
  <c r="G6" i="8" s="1"/>
  <c r="F17" i="8"/>
  <c r="G17" i="8" s="1"/>
  <c r="F28" i="8"/>
  <c r="G28" i="8" s="1"/>
  <c r="F39" i="8"/>
  <c r="G39" i="8" s="1"/>
  <c r="J8" i="8"/>
  <c r="K8" i="8" s="1"/>
  <c r="F12" i="8"/>
  <c r="G12" i="8" s="1"/>
  <c r="N15" i="8"/>
  <c r="J19" i="8"/>
  <c r="K19" i="8" s="1"/>
  <c r="F23" i="8"/>
  <c r="G23" i="8" s="1"/>
  <c r="N26" i="8"/>
  <c r="J30" i="8"/>
  <c r="K30" i="8" s="1"/>
  <c r="F34" i="8"/>
  <c r="G34" i="8" s="1"/>
  <c r="N37" i="8"/>
  <c r="J41" i="8"/>
  <c r="K41" i="8" s="1"/>
  <c r="F45" i="8"/>
  <c r="G45" i="8" s="1"/>
  <c r="N48" i="8"/>
  <c r="F5" i="8"/>
  <c r="N8" i="8"/>
  <c r="N50" i="8" s="1"/>
  <c r="J12" i="8"/>
  <c r="K12" i="8" s="1"/>
  <c r="F16" i="8"/>
  <c r="G16" i="8" s="1"/>
  <c r="N19" i="8"/>
  <c r="F27" i="8"/>
  <c r="G27" i="8" s="1"/>
  <c r="N30" i="8"/>
  <c r="J34" i="8"/>
  <c r="K34" i="8" s="1"/>
  <c r="F38" i="8"/>
  <c r="G38" i="8" s="1"/>
  <c r="N41" i="8"/>
  <c r="J45" i="8"/>
  <c r="K45" i="8" s="1"/>
  <c r="F49" i="8"/>
  <c r="G49" i="8" s="1"/>
  <c r="J5" i="8"/>
  <c r="J16" i="8"/>
  <c r="K16" i="8" s="1"/>
  <c r="J27" i="8"/>
  <c r="K27" i="8" s="1"/>
  <c r="J38" i="8"/>
  <c r="K38" i="8" s="1"/>
  <c r="J49" i="8"/>
  <c r="K49" i="8" s="1"/>
  <c r="J102" i="8"/>
  <c r="F22" i="8"/>
  <c r="G22" i="8" s="1"/>
  <c r="F33" i="8"/>
  <c r="G33" i="8" s="1"/>
  <c r="F44" i="8"/>
  <c r="G44" i="8" s="1"/>
  <c r="F15" i="8"/>
  <c r="G15" i="8" s="1"/>
  <c r="J22" i="8"/>
  <c r="K22" i="8" s="1"/>
  <c r="F26" i="8"/>
  <c r="G26" i="8" s="1"/>
  <c r="J33" i="8"/>
  <c r="K33" i="8" s="1"/>
  <c r="F37" i="8"/>
  <c r="G37" i="8" s="1"/>
  <c r="J44" i="8"/>
  <c r="K44" i="8" s="1"/>
  <c r="F48" i="8"/>
  <c r="G48" i="8" s="1"/>
  <c r="N28" i="6"/>
  <c r="N27" i="6"/>
  <c r="N26" i="6"/>
  <c r="N10" i="6"/>
  <c r="N24" i="6"/>
  <c r="N48" i="6"/>
  <c r="N47" i="6"/>
  <c r="N46" i="6"/>
  <c r="N45" i="6"/>
  <c r="N44" i="6"/>
  <c r="N42" i="6"/>
  <c r="N20" i="6"/>
  <c r="N9" i="6"/>
  <c r="N5" i="6"/>
  <c r="N6" i="6"/>
  <c r="N49" i="6"/>
  <c r="N39" i="6"/>
  <c r="N30" i="6"/>
  <c r="N8" i="6"/>
  <c r="N29" i="6"/>
  <c r="N7" i="6"/>
  <c r="J38" i="6"/>
  <c r="K38" i="6" s="1"/>
  <c r="N43" i="6"/>
  <c r="N21" i="6"/>
  <c r="N37" i="6"/>
  <c r="N15" i="6"/>
  <c r="N36" i="6"/>
  <c r="N14" i="6"/>
  <c r="J102" i="6"/>
  <c r="N35" i="6"/>
  <c r="N13" i="6"/>
  <c r="N34" i="6"/>
  <c r="N12" i="6"/>
  <c r="N41" i="6"/>
  <c r="N19" i="6"/>
  <c r="N40" i="6"/>
  <c r="N17" i="6"/>
  <c r="N38" i="6"/>
  <c r="N16" i="6"/>
  <c r="N33" i="6"/>
  <c r="N11" i="6"/>
  <c r="G102" i="6"/>
  <c r="K57" i="6"/>
  <c r="K102" i="6" s="1"/>
  <c r="F102" i="6"/>
  <c r="J39" i="6"/>
  <c r="K39" i="6" s="1"/>
  <c r="J27" i="6"/>
  <c r="K27" i="6" s="1"/>
  <c r="J28" i="6"/>
  <c r="K28" i="6" s="1"/>
  <c r="J35" i="6"/>
  <c r="K35" i="6" s="1"/>
  <c r="F16" i="6"/>
  <c r="G16" i="6" s="1"/>
  <c r="J40" i="6"/>
  <c r="K40" i="6" s="1"/>
  <c r="F5" i="6"/>
  <c r="G5" i="6" s="1"/>
  <c r="F17" i="6"/>
  <c r="G17" i="6" s="1"/>
  <c r="F44" i="6"/>
  <c r="G44" i="6" s="1"/>
  <c r="F6" i="6"/>
  <c r="G6" i="6" s="1"/>
  <c r="J18" i="6"/>
  <c r="K18" i="6" s="1"/>
  <c r="F33" i="6"/>
  <c r="G33" i="6" s="1"/>
  <c r="J7" i="6"/>
  <c r="K7" i="6" s="1"/>
  <c r="J46" i="6"/>
  <c r="K46" i="6" s="1"/>
  <c r="F22" i="6"/>
  <c r="G22" i="6" s="1"/>
  <c r="F49" i="6"/>
  <c r="G49" i="6" s="1"/>
  <c r="F11" i="6"/>
  <c r="G11" i="6" s="1"/>
  <c r="J24" i="6"/>
  <c r="K24" i="6" s="1"/>
  <c r="J29" i="6"/>
  <c r="K29" i="6" s="1"/>
  <c r="J13" i="6"/>
  <c r="K13" i="6" s="1"/>
  <c r="F15" i="6"/>
  <c r="G15" i="6" s="1"/>
  <c r="F26" i="6"/>
  <c r="G26" i="6" s="1"/>
  <c r="F37" i="6"/>
  <c r="G37" i="6" s="1"/>
  <c r="F48" i="6"/>
  <c r="G48" i="6" s="1"/>
  <c r="F8" i="6"/>
  <c r="G8" i="6" s="1"/>
  <c r="F19" i="6"/>
  <c r="G19" i="6" s="1"/>
  <c r="F30" i="6"/>
  <c r="G30" i="6" s="1"/>
  <c r="F12" i="6"/>
  <c r="G12" i="6" s="1"/>
  <c r="F23" i="6"/>
  <c r="G23" i="6" s="1"/>
  <c r="F34" i="6"/>
  <c r="G34" i="6" s="1"/>
  <c r="J41" i="6"/>
  <c r="K41" i="6" s="1"/>
  <c r="J45" i="6"/>
  <c r="K45" i="6" s="1"/>
  <c r="F9" i="6"/>
  <c r="G9" i="6" s="1"/>
  <c r="F20" i="6"/>
  <c r="G20" i="6" s="1"/>
  <c r="F31" i="6"/>
  <c r="G31" i="6" s="1"/>
  <c r="F42" i="6"/>
  <c r="G42" i="6" s="1"/>
  <c r="K5" i="6"/>
  <c r="C50" i="6"/>
  <c r="F10" i="6"/>
  <c r="G10" i="6" s="1"/>
  <c r="F21" i="6"/>
  <c r="G21" i="6" s="1"/>
  <c r="F32" i="6"/>
  <c r="G32" i="6" s="1"/>
  <c r="F43" i="6"/>
  <c r="G43" i="6" s="1"/>
  <c r="F14" i="6"/>
  <c r="G14" i="6" s="1"/>
  <c r="F25" i="6"/>
  <c r="G25" i="6" s="1"/>
  <c r="F36" i="6"/>
  <c r="G36" i="6" s="1"/>
  <c r="F47" i="6"/>
  <c r="G47" i="6" s="1"/>
  <c r="H56" i="5"/>
  <c r="H101" i="5" s="1"/>
  <c r="L56" i="5"/>
  <c r="L101" i="5" s="1"/>
  <c r="H4" i="5"/>
  <c r="H49" i="5" s="1"/>
  <c r="L4" i="5"/>
  <c r="L49" i="5" s="1"/>
  <c r="H124" i="4"/>
  <c r="G124" i="4"/>
  <c r="K124" i="4"/>
  <c r="H131" i="4"/>
  <c r="H251" i="4" s="1"/>
  <c r="K251" i="4"/>
  <c r="L131" i="4"/>
  <c r="L251" i="4" s="1"/>
  <c r="L4" i="4"/>
  <c r="L124" i="4" s="1"/>
  <c r="K249" i="3"/>
  <c r="G249" i="3"/>
  <c r="H249" i="3"/>
  <c r="L129" i="3"/>
  <c r="L249" i="3" s="1"/>
  <c r="K124" i="3"/>
  <c r="L124" i="3"/>
  <c r="G124" i="3"/>
  <c r="H4" i="3"/>
  <c r="H124" i="3" s="1"/>
  <c r="H250" i="2"/>
  <c r="L250" i="2"/>
  <c r="K250" i="2"/>
  <c r="G250" i="2"/>
  <c r="G124" i="2"/>
  <c r="H124" i="2"/>
  <c r="K124" i="2"/>
  <c r="L4" i="2"/>
  <c r="L124" i="2" s="1"/>
  <c r="K251" i="1"/>
  <c r="H251" i="1"/>
  <c r="L132" i="1"/>
  <c r="L251" i="1" s="1"/>
  <c r="G251" i="1"/>
  <c r="G125" i="1"/>
  <c r="H125" i="1"/>
  <c r="K125" i="1"/>
  <c r="L5" i="1"/>
  <c r="L125" i="1" s="1"/>
  <c r="G102" i="8" l="1"/>
  <c r="F102" i="8"/>
  <c r="K5" i="8"/>
  <c r="K50" i="8" s="1"/>
  <c r="J50" i="8"/>
  <c r="G5" i="8"/>
  <c r="G50" i="8" s="1"/>
  <c r="F50" i="8"/>
  <c r="K50" i="6"/>
  <c r="G50" i="6"/>
  <c r="J50" i="6"/>
  <c r="F50" i="6"/>
</calcChain>
</file>

<file path=xl/sharedStrings.xml><?xml version="1.0" encoding="utf-8"?>
<sst xmlns="http://schemas.openxmlformats.org/spreadsheetml/2006/main" count="1617" uniqueCount="1247">
  <si>
    <t>INSTANCIAS n=20</t>
  </si>
  <si>
    <t>F(S)</t>
  </si>
  <si>
    <t>Tiempo</t>
  </si>
  <si>
    <t>Dev</t>
  </si>
  <si>
    <t>isBest?</t>
  </si>
  <si>
    <t>AUpdata_ta_cp_20_100_2_100_1</t>
  </si>
  <si>
    <t>AUpdata_ta_cp_20_100_2_100_2</t>
  </si>
  <si>
    <t>AUpdata_ta_cp_20_100_2_100_3</t>
  </si>
  <si>
    <t>AUpdata_ta_cp_20_100_2_100_4</t>
  </si>
  <si>
    <t>AUpdata_ta_cp_20_100_2_100_5</t>
  </si>
  <si>
    <t>AUpdata_ta_cp_20_100_2_50_1</t>
  </si>
  <si>
    <t>AUpdata_ta_cp_20_100_2_50_2</t>
  </si>
  <si>
    <t>AUpdata_ta_cp_20_100_2_50_3</t>
  </si>
  <si>
    <t>AUpdata_ta_cp_20_100_2_50_4</t>
  </si>
  <si>
    <t>AUpdata_ta_cp_20_100_2_50_5</t>
  </si>
  <si>
    <t>AUpdata_ta_cp_20_100_3_100_1</t>
  </si>
  <si>
    <t>AUpdata_ta_cp_20_100_3_100_2</t>
  </si>
  <si>
    <t>AUpdata_ta_cp_20_100_3_100_3</t>
  </si>
  <si>
    <t>AUpdata_ta_cp_20_100_3_100_4</t>
  </si>
  <si>
    <t>AUpdata_ta_cp_20_100_3_100_5</t>
  </si>
  <si>
    <t>AUpdata_ta_cp_20_100_3_50_1</t>
  </si>
  <si>
    <t>AUpdata_ta_cp_20_100_3_50_2</t>
  </si>
  <si>
    <t>AUpdata_ta_cp_20_100_3_50_3</t>
  </si>
  <si>
    <t>AUpdata_ta_cp_20_100_3_50_4</t>
  </si>
  <si>
    <t>AUpdata_ta_cp_20_100_3_50_5</t>
  </si>
  <si>
    <t>AUpdata_ta_cp_20_100_4_100_1</t>
  </si>
  <si>
    <t>AUpdata_ta_cp_20_100_4_100_2</t>
  </si>
  <si>
    <t>AUpdata_ta_cp_20_100_4_100_3</t>
  </si>
  <si>
    <t>AUpdata_ta_cp_20_100_4_100_4</t>
  </si>
  <si>
    <t>AUpdata_ta_cp_20_100_4_100_5</t>
  </si>
  <si>
    <t>AUpdata_ta_cp_20_100_4_50_1</t>
  </si>
  <si>
    <t>AUpdata_ta_cp_20_100_4_50_2</t>
  </si>
  <si>
    <t>AUpdata_ta_cp_20_100_4_50_3</t>
  </si>
  <si>
    <t>AUpdata_ta_cp_20_100_4_50_4</t>
  </si>
  <si>
    <t>AUpdata_ta_cp_20_100_4_50_5</t>
  </si>
  <si>
    <t>AUpdata_ta_cp_20_100_5_100_1</t>
  </si>
  <si>
    <t>AUpdata_ta_cp_20_100_5_100_2</t>
  </si>
  <si>
    <t>AUpdata_ta_cp_20_100_5_100_3</t>
  </si>
  <si>
    <t>AUpdata_ta_cp_20_100_5_100_4</t>
  </si>
  <si>
    <t>AUpdata_ta_cp_20_100_5_100_5</t>
  </si>
  <si>
    <t>AUpdata_ta_cp_20_100_5_50_1</t>
  </si>
  <si>
    <t>AUpdata_ta_cp_20_100_5_50_2</t>
  </si>
  <si>
    <t>AUpdata_ta_cp_20_100_5_50_3</t>
  </si>
  <si>
    <t>AUpdata_ta_cp_20_100_5_50_4</t>
  </si>
  <si>
    <t>AUpdata_ta_cp_20_100_5_50_5</t>
  </si>
  <si>
    <t>AUpdata_ta_cp_20_150_2_100_1</t>
  </si>
  <si>
    <t>AUpdata_ta_cp_20_150_2_100_2</t>
  </si>
  <si>
    <t>AUpdata_ta_cp_20_150_2_100_3</t>
  </si>
  <si>
    <t>AUpdata_ta_cp_20_150_2_100_4</t>
  </si>
  <si>
    <t>AUpdata_ta_cp_20_150_2_100_5</t>
  </si>
  <si>
    <t>AUpdata_ta_cp_20_150_2_50_1</t>
  </si>
  <si>
    <t>AUpdata_ta_cp_20_150_2_50_2</t>
  </si>
  <si>
    <t>AUpdata_ta_cp_20_150_2_50_3</t>
  </si>
  <si>
    <t>AUpdata_ta_cp_20_150_2_50_4</t>
  </si>
  <si>
    <t>AUpdata_ta_cp_20_150_2_50_5</t>
  </si>
  <si>
    <t>AUpdata_ta_cp_20_150_3_100_1</t>
  </si>
  <si>
    <t>AUpdata_ta_cp_20_150_3_100_2</t>
  </si>
  <si>
    <t>AUpdata_ta_cp_20_150_3_100_3</t>
  </si>
  <si>
    <t>AUpdata_ta_cp_20_150_3_100_4</t>
  </si>
  <si>
    <t>AUpdata_ta_cp_20_150_3_100_5</t>
  </si>
  <si>
    <t>AUpdata_ta_cp_20_150_3_50_1</t>
  </si>
  <si>
    <t>AUpdata_ta_cp_20_150_3_50_2</t>
  </si>
  <si>
    <t>AUpdata_ta_cp_20_150_3_50_3</t>
  </si>
  <si>
    <t>AUpdata_ta_cp_20_150_3_50_4</t>
  </si>
  <si>
    <t>AUpdata_ta_cp_20_150_3_50_5</t>
  </si>
  <si>
    <t>AUpdata_ta_cp_20_150_4_100_1</t>
  </si>
  <si>
    <t>AUpdata_ta_cp_20_150_4_100_2</t>
  </si>
  <si>
    <t>AUpdata_ta_cp_20_150_4_100_3</t>
  </si>
  <si>
    <t>AUpdata_ta_cp_20_150_4_100_4</t>
  </si>
  <si>
    <t>AUpdata_ta_cp_20_150_4_100_5</t>
  </si>
  <si>
    <t>AUpdata_ta_cp_20_150_4_50_1</t>
  </si>
  <si>
    <t>AUpdata_ta_cp_20_150_4_50_2</t>
  </si>
  <si>
    <t>AUpdata_ta_cp_20_150_4_50_3</t>
  </si>
  <si>
    <t>AUpdata_ta_cp_20_150_4_50_4</t>
  </si>
  <si>
    <t>AUpdata_ta_cp_20_150_4_50_5</t>
  </si>
  <si>
    <t>AUpdata_ta_cp_20_150_5_100_1</t>
  </si>
  <si>
    <t>AUpdata_ta_cp_20_150_5_100_2</t>
  </si>
  <si>
    <t>AUpdata_ta_cp_20_150_5_100_3</t>
  </si>
  <si>
    <t>AUpdata_ta_cp_20_150_5_100_4</t>
  </si>
  <si>
    <t>AUpdata_ta_cp_20_150_5_100_5</t>
  </si>
  <si>
    <t>AUpdata_ta_cp_20_150_5_50_1</t>
  </si>
  <si>
    <t>AUpdata_ta_cp_20_150_5_50_2</t>
  </si>
  <si>
    <t>AUpdata_ta_cp_20_150_5_50_3</t>
  </si>
  <si>
    <t>AUpdata_ta_cp_20_150_5_50_4</t>
  </si>
  <si>
    <t>AUpdata_ta_cp_20_150_5_50_5</t>
  </si>
  <si>
    <t>AUpdata_ta_cp_20_300_2_100_1</t>
  </si>
  <si>
    <t>AUpdata_ta_cp_20_300_2_100_2</t>
  </si>
  <si>
    <t>AUpdata_ta_cp_20_300_2_100_3</t>
  </si>
  <si>
    <t>AUpdata_ta_cp_20_300_2_100_4</t>
  </si>
  <si>
    <t>AUpdata_ta_cp_20_300_2_100_5</t>
  </si>
  <si>
    <t>AUpdata_ta_cp_20_300_2_50_1</t>
  </si>
  <si>
    <t>AUpdata_ta_cp_20_300_2_50_2</t>
  </si>
  <si>
    <t>AUpdata_ta_cp_20_300_2_50_3</t>
  </si>
  <si>
    <t>AUpdata_ta_cp_20_300_2_50_4</t>
  </si>
  <si>
    <t>AUpdata_ta_cp_20_300_2_50_5</t>
  </si>
  <si>
    <t>AUpdata_ta_cp_20_300_3_100_1</t>
  </si>
  <si>
    <t>AUpdata_ta_cp_20_300_3_100_2</t>
  </si>
  <si>
    <t>AUpdata_ta_cp_20_300_3_100_3</t>
  </si>
  <si>
    <t>AUpdata_ta_cp_20_300_3_100_4</t>
  </si>
  <si>
    <t>AUpdata_ta_cp_20_300_3_100_5</t>
  </si>
  <si>
    <t>AUpdata_ta_cp_20_300_3_50_1</t>
  </si>
  <si>
    <t>AUpdata_ta_cp_20_300_3_50_2</t>
  </si>
  <si>
    <t>AUpdata_ta_cp_20_300_3_50_3</t>
  </si>
  <si>
    <t>AUpdata_ta_cp_20_300_3_50_4</t>
  </si>
  <si>
    <t>AUpdata_ta_cp_20_300_3_50_5</t>
  </si>
  <si>
    <t>AUpdata_ta_cp_20_300_4_100_1</t>
  </si>
  <si>
    <t>AUpdata_ta_cp_20_300_4_100_2</t>
  </si>
  <si>
    <t>AUpdata_ta_cp_20_300_4_100_3</t>
  </si>
  <si>
    <t>AUpdata_ta_cp_20_300_4_100_4</t>
  </si>
  <si>
    <t>AUpdata_ta_cp_20_300_4_100_5</t>
  </si>
  <si>
    <t>AUpdata_ta_cp_20_300_4_50_1</t>
  </si>
  <si>
    <t>AUpdata_ta_cp_20_300_4_50_2</t>
  </si>
  <si>
    <t>AUpdata_ta_cp_20_300_4_50_3</t>
  </si>
  <si>
    <t>AUpdata_ta_cp_20_300_4_50_4</t>
  </si>
  <si>
    <t>AUpdata_ta_cp_20_300_4_50_5</t>
  </si>
  <si>
    <t>AUpdata_ta_cp_20_300_5_100_1</t>
  </si>
  <si>
    <t>AUpdata_ta_cp_20_300_5_100_2</t>
  </si>
  <si>
    <t>AUpdata_ta_cp_20_300_5_100_3</t>
  </si>
  <si>
    <t>AUpdata_ta_cp_20_300_5_100_4</t>
  </si>
  <si>
    <t>AUpdata_ta_cp_20_300_5_100_5</t>
  </si>
  <si>
    <t>AUpdata_ta_cp_20_300_5_50_1</t>
  </si>
  <si>
    <t>AUpdata_ta_cp_20_300_5_50_2</t>
  </si>
  <si>
    <t>AUpdata_ta_cp_20_300_5_50_3</t>
  </si>
  <si>
    <t>AUpdata_ta_cp_20_300_5_50_4</t>
  </si>
  <si>
    <t>AUpdata_ta_cp_20_300_5_50_5</t>
  </si>
  <si>
    <t>SOTA</t>
  </si>
  <si>
    <t>GRASP</t>
  </si>
  <si>
    <t>AUpdata_ta_ca_20_100_2_100_1</t>
  </si>
  <si>
    <t>AUpdata_ta_ca_20_100_2_100_2</t>
  </si>
  <si>
    <t>AUpdata_ta_ca_20_100_2_100_3</t>
  </si>
  <si>
    <t>AUpdata_ta_ca_20_100_2_100_4</t>
  </si>
  <si>
    <t>AUpdata_ta_ca_20_100_2_100_5</t>
  </si>
  <si>
    <t>AUpdata_ta_ca_20_100_2_50_1</t>
  </si>
  <si>
    <t>AUpdata_ta_ca_20_100_2_50_2</t>
  </si>
  <si>
    <t>AUpdata_ta_ca_20_100_2_50_3</t>
  </si>
  <si>
    <t>AUpdata_ta_ca_20_100_2_50_4</t>
  </si>
  <si>
    <t>AUpdata_ta_ca_20_100_2_50_5</t>
  </si>
  <si>
    <t>AUpdata_ta_ca_20_100_3_100_1</t>
  </si>
  <si>
    <t>AUpdata_ta_ca_20_100_3_100_2</t>
  </si>
  <si>
    <t>AUpdata_ta_ca_20_100_3_100_3</t>
  </si>
  <si>
    <t>AUpdata_ta_ca_20_100_3_100_4</t>
  </si>
  <si>
    <t>AUpdata_ta_ca_20_100_3_100_5</t>
  </si>
  <si>
    <t>AUpdata_ta_ca_20_100_3_50_1</t>
  </si>
  <si>
    <t>AUpdata_ta_ca_20_100_3_50_2</t>
  </si>
  <si>
    <t>AUpdata_ta_ca_20_100_3_50_3</t>
  </si>
  <si>
    <t>AUpdata_ta_ca_20_100_3_50_4</t>
  </si>
  <si>
    <t>AUpdata_ta_ca_20_100_3_50_5</t>
  </si>
  <si>
    <t>AUpdata_ta_ca_20_100_4_100_1</t>
  </si>
  <si>
    <t>AUpdata_ta_ca_20_100_4_100_2</t>
  </si>
  <si>
    <t>AUpdata_ta_ca_20_100_4_100_3</t>
  </si>
  <si>
    <t>AUpdata_ta_ca_20_100_4_100_4</t>
  </si>
  <si>
    <t>AUpdata_ta_ca_20_100_4_100_5</t>
  </si>
  <si>
    <t>AUpdata_ta_ca_20_100_4_50_1</t>
  </si>
  <si>
    <t>AUpdata_ta_ca_20_100_4_50_2</t>
  </si>
  <si>
    <t>AUpdata_ta_ca_20_100_4_50_3</t>
  </si>
  <si>
    <t>AUpdata_ta_ca_20_100_4_50_4</t>
  </si>
  <si>
    <t>AUpdata_ta_ca_20_100_4_50_5</t>
  </si>
  <si>
    <t>AUpdata_ta_ca_20_100_5_100_1</t>
  </si>
  <si>
    <t>AUpdata_ta_ca_20_100_5_100_2</t>
  </si>
  <si>
    <t>AUpdata_ta_ca_20_100_5_100_3</t>
  </si>
  <si>
    <t>AUpdata_ta_ca_20_100_5_100_4</t>
  </si>
  <si>
    <t>AUpdata_ta_ca_20_100_5_100_5</t>
  </si>
  <si>
    <t>AUpdata_ta_ca_20_100_5_50_1</t>
  </si>
  <si>
    <t>AUpdata_ta_ca_20_100_5_50_2</t>
  </si>
  <si>
    <t>AUpdata_ta_ca_20_100_5_50_3</t>
  </si>
  <si>
    <t>AUpdata_ta_ca_20_100_5_50_4</t>
  </si>
  <si>
    <t>AUpdata_ta_ca_20_100_5_50_5</t>
  </si>
  <si>
    <t>AUpdata_ta_ca_20_150_2_100_1</t>
  </si>
  <si>
    <t>AUpdata_ta_ca_20_150_2_100_2</t>
  </si>
  <si>
    <t>AUpdata_ta_ca_20_150_2_100_3</t>
  </si>
  <si>
    <t>AUpdata_ta_ca_20_150_2_100_4</t>
  </si>
  <si>
    <t>AUpdata_ta_ca_20_150_2_100_5</t>
  </si>
  <si>
    <t>AUpdata_ta_ca_20_150_2_50_1</t>
  </si>
  <si>
    <t>AUpdata_ta_ca_20_150_2_50_2</t>
  </si>
  <si>
    <t>AUpdata_ta_ca_20_150_2_50_3</t>
  </si>
  <si>
    <t>AUpdata_ta_ca_20_150_2_50_4</t>
  </si>
  <si>
    <t>AUpdata_ta_ca_20_150_2_50_5</t>
  </si>
  <si>
    <t>AUpdata_ta_ca_20_150_3_100_1</t>
  </si>
  <si>
    <t>AUpdata_ta_ca_20_150_3_100_2</t>
  </si>
  <si>
    <t>AUpdata_ta_ca_20_150_3_100_3</t>
  </si>
  <si>
    <t>AUpdata_ta_ca_20_150_3_100_4</t>
  </si>
  <si>
    <t>AUpdata_ta_ca_20_150_3_100_5</t>
  </si>
  <si>
    <t>AUpdata_ta_ca_20_150_3_50_1</t>
  </si>
  <si>
    <t>AUpdata_ta_ca_20_150_3_50_2</t>
  </si>
  <si>
    <t>AUpdata_ta_ca_20_150_3_50_3</t>
  </si>
  <si>
    <t>AUpdata_ta_ca_20_150_3_50_4</t>
  </si>
  <si>
    <t>AUpdata_ta_ca_20_150_3_50_5</t>
  </si>
  <si>
    <t>AUpdata_ta_ca_20_150_4_100_1</t>
  </si>
  <si>
    <t>AUpdata_ta_ca_20_150_4_100_2</t>
  </si>
  <si>
    <t>AUpdata_ta_ca_20_150_4_100_3</t>
  </si>
  <si>
    <t>AUpdata_ta_ca_20_150_4_100_4</t>
  </si>
  <si>
    <t>AUpdata_ta_ca_20_150_4_100_5</t>
  </si>
  <si>
    <t>AUpdata_ta_ca_20_150_4_50_1</t>
  </si>
  <si>
    <t>AUpdata_ta_ca_20_150_4_50_2</t>
  </si>
  <si>
    <t>AUpdata_ta_ca_20_150_4_50_3</t>
  </si>
  <si>
    <t>AUpdata_ta_ca_20_150_4_50_4</t>
  </si>
  <si>
    <t>AUpdata_ta_ca_20_150_4_50_5</t>
  </si>
  <si>
    <t>AUpdata_ta_ca_20_150_5_100_1</t>
  </si>
  <si>
    <t>AUpdata_ta_ca_20_150_5_100_2</t>
  </si>
  <si>
    <t>AUpdata_ta_ca_20_150_5_100_3</t>
  </si>
  <si>
    <t>AUpdata_ta_ca_20_150_5_100_4</t>
  </si>
  <si>
    <t>AUpdata_ta_ca_20_150_5_100_5</t>
  </si>
  <si>
    <t>AUpdata_ta_ca_20_150_5_50_1</t>
  </si>
  <si>
    <t>AUpdata_ta_ca_20_150_5_50_2</t>
  </si>
  <si>
    <t>AUpdata_ta_ca_20_150_5_50_3</t>
  </si>
  <si>
    <t>AUpdata_ta_ca_20_150_5_50_4</t>
  </si>
  <si>
    <t>AUpdata_ta_ca_20_150_5_50_5</t>
  </si>
  <si>
    <t>AUpdata_ta_ca_20_300_2_100_1</t>
  </si>
  <si>
    <t>AUpdata_ta_ca_20_300_2_100_2</t>
  </si>
  <si>
    <t>AUpdata_ta_ca_20_300_2_100_3</t>
  </si>
  <si>
    <t>AUpdata_ta_ca_20_300_2_100_4</t>
  </si>
  <si>
    <t>AUpdata_ta_ca_20_300_2_100_5</t>
  </si>
  <si>
    <t>AUpdata_ta_ca_20_300_2_50_1</t>
  </si>
  <si>
    <t>AUpdata_ta_ca_20_300_2_50_2</t>
  </si>
  <si>
    <t>AUpdata_ta_ca_20_300_2_50_3</t>
  </si>
  <si>
    <t>AUpdata_ta_ca_20_300_2_50_4</t>
  </si>
  <si>
    <t>AUpdata_ta_ca_20_300_2_50_5</t>
  </si>
  <si>
    <t>AUpdata_ta_ca_20_300_3_100_1</t>
  </si>
  <si>
    <t>AUpdata_ta_ca_20_300_3_100_2</t>
  </si>
  <si>
    <t>AUpdata_ta_ca_20_300_3_100_3</t>
  </si>
  <si>
    <t>AUpdata_ta_ca_20_300_3_100_4</t>
  </si>
  <si>
    <t>AUpdata_ta_ca_20_300_3_100_5</t>
  </si>
  <si>
    <t>AUpdata_ta_ca_20_300_3_50_1</t>
  </si>
  <si>
    <t>AUpdata_ta_ca_20_300_3_50_2</t>
  </si>
  <si>
    <t>AUpdata_ta_ca_20_300_3_50_3</t>
  </si>
  <si>
    <t>AUpdata_ta_ca_20_300_3_50_4</t>
  </si>
  <si>
    <t>AUpdata_ta_ca_20_300_3_50_5</t>
  </si>
  <si>
    <t>AUpdata_ta_ca_20_300_4_100_1</t>
  </si>
  <si>
    <t>AUpdata_ta_ca_20_300_4_100_2</t>
  </si>
  <si>
    <t>AUpdata_ta_ca_20_300_4_100_3</t>
  </si>
  <si>
    <t>AUpdata_ta_ca_20_300_4_100_4</t>
  </si>
  <si>
    <t>AUpdata_ta_ca_20_300_4_100_5</t>
  </si>
  <si>
    <t>AUpdata_ta_ca_20_300_4_50_1</t>
  </si>
  <si>
    <t>AUpdata_ta_ca_20_300_4_50_2</t>
  </si>
  <si>
    <t>AUpdata_ta_ca_20_300_4_50_3</t>
  </si>
  <si>
    <t>AUpdata_ta_ca_20_300_4_50_4</t>
  </si>
  <si>
    <t>AUpdata_ta_ca_20_300_4_50_5</t>
  </si>
  <si>
    <t>AUpdata_ta_ca_20_300_5_100_1</t>
  </si>
  <si>
    <t>AUpdata_ta_ca_20_300_5_100_2</t>
  </si>
  <si>
    <t>AUpdata_ta_ca_20_300_5_100_3</t>
  </si>
  <si>
    <t>AUpdata_ta_ca_20_300_5_100_4</t>
  </si>
  <si>
    <t>AUpdata_ta_ca_20_300_5_100_5</t>
  </si>
  <si>
    <t>AUpdata_ta_ca_20_300_5_50_1</t>
  </si>
  <si>
    <t>AUpdata_ta_ca_20_300_5_50_2</t>
  </si>
  <si>
    <t>AUpdata_ta_ca_20_300_5_50_3</t>
  </si>
  <si>
    <t>AUpdata_ta_ca_20_300_5_50_4</t>
  </si>
  <si>
    <t>AUpdata_ta_ca_20_300_5_50_5</t>
  </si>
  <si>
    <t>KH</t>
  </si>
  <si>
    <t>INSTANCIAS N=40</t>
  </si>
  <si>
    <t>AUpdata_ta_cp_40_100_2_100_1</t>
  </si>
  <si>
    <t>AUpdata_ta_cp_40_100_2_100_2</t>
  </si>
  <si>
    <t>AUpdata_ta_cp_40_100_2_100_3</t>
  </si>
  <si>
    <t>AUpdata_ta_cp_40_100_2_100_4</t>
  </si>
  <si>
    <t>AUpdata_ta_cp_40_100_2_100_5</t>
  </si>
  <si>
    <t>AUpdata_ta_cp_40_100_2_50_1</t>
  </si>
  <si>
    <t>AUpdata_ta_cp_40_100_2_50_2</t>
  </si>
  <si>
    <t>AUpdata_ta_cp_40_100_2_50_3</t>
  </si>
  <si>
    <t>AUpdata_ta_cp_40_100_2_50_4</t>
  </si>
  <si>
    <t>AUpdata_ta_cp_40_100_2_50_5</t>
  </si>
  <si>
    <t>AUpdata_ta_cp_40_100_3_100_1</t>
  </si>
  <si>
    <t>AUpdata_ta_cp_40_100_3_100_2</t>
  </si>
  <si>
    <t>AUpdata_ta_cp_40_100_3_100_3</t>
  </si>
  <si>
    <t>AUpdata_ta_cp_40_100_3_100_4</t>
  </si>
  <si>
    <t>AUpdata_ta_cp_40_100_3_100_5</t>
  </si>
  <si>
    <t>AUpdata_ta_cp_40_100_3_50_1</t>
  </si>
  <si>
    <t>AUpdata_ta_cp_40_100_3_50_2</t>
  </si>
  <si>
    <t>AUpdata_ta_cp_40_100_3_50_3</t>
  </si>
  <si>
    <t>AUpdata_ta_cp_40_100_3_50_4</t>
  </si>
  <si>
    <t>AUpdata_ta_cp_40_100_3_50_5</t>
  </si>
  <si>
    <t>AUpdata_ta_cp_40_100_4_100_1</t>
  </si>
  <si>
    <t>AUpdata_ta_cp_40_100_4_100_2</t>
  </si>
  <si>
    <t>AUpdata_ta_cp_40_100_4_100_3</t>
  </si>
  <si>
    <t>AUpdata_ta_cp_40_100_4_100_4</t>
  </si>
  <si>
    <t>AUpdata_ta_cp_40_100_4_100_5</t>
  </si>
  <si>
    <t>AUpdata_ta_cp_40_100_4_50_1</t>
  </si>
  <si>
    <t>AUpdata_ta_cp_40_100_4_50_2</t>
  </si>
  <si>
    <t>AUpdata_ta_cp_40_100_4_50_3</t>
  </si>
  <si>
    <t>AUpdata_ta_cp_40_100_4_50_4</t>
  </si>
  <si>
    <t>AUpdata_ta_cp_40_100_4_50_5</t>
  </si>
  <si>
    <t>AUpdata_ta_cp_40_100_5_100_1</t>
  </si>
  <si>
    <t>AUpdata_ta_cp_40_100_5_100_2</t>
  </si>
  <si>
    <t>AUpdata_ta_cp_40_100_5_100_3</t>
  </si>
  <si>
    <t>AUpdata_ta_cp_40_100_5_100_4</t>
  </si>
  <si>
    <t>AUpdata_ta_cp_40_100_5_100_5</t>
  </si>
  <si>
    <t>AUpdata_ta_cp_40_100_5_50_1</t>
  </si>
  <si>
    <t>AUpdata_ta_cp_40_100_5_50_2</t>
  </si>
  <si>
    <t>AUpdata_ta_cp_40_100_5_50_3</t>
  </si>
  <si>
    <t>AUpdata_ta_cp_40_100_5_50_4</t>
  </si>
  <si>
    <t>AUpdata_ta_cp_40_100_5_50_5</t>
  </si>
  <si>
    <t>AUpdata_ta_cp_40_300_2_100_1</t>
  </si>
  <si>
    <t>AUpdata_ta_cp_40_300_2_100_2</t>
  </si>
  <si>
    <t>AUpdata_ta_cp_40_300_2_100_3</t>
  </si>
  <si>
    <t>AUpdata_ta_cp_40_300_2_100_4</t>
  </si>
  <si>
    <t>AUpdata_ta_cp_40_300_2_100_5</t>
  </si>
  <si>
    <t>AUpdata_ta_cp_40_300_2_50_1</t>
  </si>
  <si>
    <t>AUpdata_ta_cp_40_300_2_50_2</t>
  </si>
  <si>
    <t>AUpdata_ta_cp_40_300_2_50_3</t>
  </si>
  <si>
    <t>AUpdata_ta_cp_40_300_2_50_4</t>
  </si>
  <si>
    <t>AUpdata_ta_cp_40_300_2_50_5</t>
  </si>
  <si>
    <t>AUpdata_ta_cp_40_300_3_100_1</t>
  </si>
  <si>
    <t>AUpdata_ta_cp_40_300_3_100_2</t>
  </si>
  <si>
    <t>AUpdata_ta_cp_40_300_3_100_3</t>
  </si>
  <si>
    <t>AUpdata_ta_cp_40_300_3_100_4</t>
  </si>
  <si>
    <t>AUpdata_ta_cp_40_300_3_100_5</t>
  </si>
  <si>
    <t>AUpdata_ta_cp_40_300_3_50_1</t>
  </si>
  <si>
    <t>AUpdata_ta_cp_40_300_3_50_2</t>
  </si>
  <si>
    <t>AUpdata_ta_cp_40_300_3_50_3</t>
  </si>
  <si>
    <t>AUpdata_ta_cp_40_300_3_50_4</t>
  </si>
  <si>
    <t>AUpdata_ta_cp_40_300_3_50_5</t>
  </si>
  <si>
    <t>AUpdata_ta_cp_40_300_4_100_1</t>
  </si>
  <si>
    <t>AUpdata_ta_cp_40_300_4_100_2</t>
  </si>
  <si>
    <t>AUpdata_ta_cp_40_300_4_100_3</t>
  </si>
  <si>
    <t>AUpdata_ta_cp_40_300_4_100_4</t>
  </si>
  <si>
    <t>AUpdata_ta_cp_40_300_4_100_5</t>
  </si>
  <si>
    <t>AUpdata_ta_cp_40_300_4_50_1</t>
  </si>
  <si>
    <t>AUpdata_ta_cp_40_300_4_50_2</t>
  </si>
  <si>
    <t>AUpdata_ta_cp_40_300_4_50_3</t>
  </si>
  <si>
    <t>AUpdata_ta_cp_40_300_4_50_4</t>
  </si>
  <si>
    <t>AUpdata_ta_cp_40_300_4_50_5</t>
  </si>
  <si>
    <t>AUpdata_ta_cp_40_300_5_100_1</t>
  </si>
  <si>
    <t>AUpdata_ta_cp_40_300_5_100_2</t>
  </si>
  <si>
    <t>AUpdata_ta_cp_40_300_5_100_3</t>
  </si>
  <si>
    <t>AUpdata_ta_cp_40_300_5_100_4</t>
  </si>
  <si>
    <t>AUpdata_ta_cp_40_300_5_100_5</t>
  </si>
  <si>
    <t>AUpdata_ta_cp_40_300_5_50_1</t>
  </si>
  <si>
    <t>AUpdata_ta_cp_40_300_5_50_2</t>
  </si>
  <si>
    <t>AUpdata_ta_cp_40_300_5_50_3</t>
  </si>
  <si>
    <t>AUpdata_ta_cp_40_300_5_50_4</t>
  </si>
  <si>
    <t>AUpdata_ta_cp_40_300_5_50_5</t>
  </si>
  <si>
    <t>AUpdata_ta_cp_40_500_2_100_1</t>
  </si>
  <si>
    <t>AUpdata_ta_cp_40_500_2_100_2</t>
  </si>
  <si>
    <t>AUpdata_ta_cp_40_500_2_100_3</t>
  </si>
  <si>
    <t>AUpdata_ta_cp_40_500_2_100_4</t>
  </si>
  <si>
    <t>AUpdata_ta_cp_40_500_2_100_5</t>
  </si>
  <si>
    <t>AUpdata_ta_cp_40_500_2_50_1</t>
  </si>
  <si>
    <t>AUpdata_ta_cp_40_500_2_50_2</t>
  </si>
  <si>
    <t>AUpdata_ta_cp_40_500_2_50_3</t>
  </si>
  <si>
    <t>AUpdata_ta_cp_40_500_2_50_4</t>
  </si>
  <si>
    <t>AUpdata_ta_cp_40_500_2_50_5</t>
  </si>
  <si>
    <t>AUpdata_ta_cp_40_500_3_100_1</t>
  </si>
  <si>
    <t>AUpdata_ta_cp_40_500_3_100_2</t>
  </si>
  <si>
    <t>AUpdata_ta_cp_40_500_3_100_3</t>
  </si>
  <si>
    <t>AUpdata_ta_cp_40_500_3_100_4</t>
  </si>
  <si>
    <t>AUpdata_ta_cp_40_500_3_100_5</t>
  </si>
  <si>
    <t>AUpdata_ta_cp_40_500_3_50_1</t>
  </si>
  <si>
    <t>AUpdata_ta_cp_40_500_3_50_2</t>
  </si>
  <si>
    <t>AUpdata_ta_cp_40_500_3_50_3</t>
  </si>
  <si>
    <t>AUpdata_ta_cp_40_500_3_50_4</t>
  </si>
  <si>
    <t>AUpdata_ta_cp_40_500_3_50_5</t>
  </si>
  <si>
    <t>AUpdata_ta_cp_40_500_4_100_1</t>
  </si>
  <si>
    <t>AUpdata_ta_cp_40_500_4_100_2</t>
  </si>
  <si>
    <t>AUpdata_ta_cp_40_500_4_100_3</t>
  </si>
  <si>
    <t>AUpdata_ta_cp_40_500_4_100_4</t>
  </si>
  <si>
    <t>AUpdata_ta_cp_40_500_4_100_5</t>
  </si>
  <si>
    <t>AUpdata_ta_cp_40_500_4_50_1</t>
  </si>
  <si>
    <t>AUpdata_ta_cp_40_500_4_50_2</t>
  </si>
  <si>
    <t>AUpdata_ta_cp_40_500_4_50_3</t>
  </si>
  <si>
    <t>AUpdata_ta_cp_40_500_4_50_4</t>
  </si>
  <si>
    <t>AUpdata_ta_cp_40_500_4_50_5</t>
  </si>
  <si>
    <t>AUpdata_ta_cp_40_500_5_100_1</t>
  </si>
  <si>
    <t>AUpdata_ta_cp_40_500_5_100_2</t>
  </si>
  <si>
    <t>AUpdata_ta_cp_40_500_5_100_3</t>
  </si>
  <si>
    <t>AUpdata_ta_cp_40_500_5_100_4</t>
  </si>
  <si>
    <t>AUpdata_ta_cp_40_500_5_100_5</t>
  </si>
  <si>
    <t>AUpdata_ta_cp_40_500_5_50_1</t>
  </si>
  <si>
    <t>AUpdata_ta_cp_40_500_5_50_2</t>
  </si>
  <si>
    <t>AUpdata_ta_cp_40_500_5_50_3</t>
  </si>
  <si>
    <t>AUpdata_ta_cp_40_500_5_50_4</t>
  </si>
  <si>
    <t>AUpdata_ta_cp_40_500_5_50_5</t>
  </si>
  <si>
    <t>AUpdata_ta_ca_40_100_2_100_1</t>
  </si>
  <si>
    <t>AUpdata_ta_ca_40_100_2_100_2</t>
  </si>
  <si>
    <t>AUpdata_ta_ca_40_100_2_100_3</t>
  </si>
  <si>
    <t>AUpdata_ta_ca_40_100_2_100_4</t>
  </si>
  <si>
    <t>AUpdata_ta_ca_40_100_2_100_5</t>
  </si>
  <si>
    <t>AUpdata_ta_ca_40_100_2_50_1</t>
  </si>
  <si>
    <t>AUpdata_ta_ca_40_100_2_50_2</t>
  </si>
  <si>
    <t>AUpdata_ta_ca_40_100_2_50_3</t>
  </si>
  <si>
    <t>AUpdata_ta_ca_40_100_2_50_4</t>
  </si>
  <si>
    <t>AUpdata_ta_ca_40_100_2_50_5</t>
  </si>
  <si>
    <t>AUpdata_ta_ca_40_100_3_100_1</t>
  </si>
  <si>
    <t>AUpdata_ta_ca_40_100_3_100_2</t>
  </si>
  <si>
    <t>AUpdata_ta_ca_40_100_3_100_3</t>
  </si>
  <si>
    <t>AUpdata_ta_ca_40_100_3_100_4</t>
  </si>
  <si>
    <t>AUpdata_ta_ca_40_100_3_100_5</t>
  </si>
  <si>
    <t>AUpdata_ta_ca_40_100_3_50_1</t>
  </si>
  <si>
    <t>AUpdata_ta_ca_40_100_3_50_2</t>
  </si>
  <si>
    <t>AUpdata_ta_ca_40_100_3_50_3</t>
  </si>
  <si>
    <t>AUpdata_ta_ca_40_100_3_50_4</t>
  </si>
  <si>
    <t>AUpdata_ta_ca_40_100_3_50_5</t>
  </si>
  <si>
    <t>AUpdata_ta_ca_40_100_4_100_1</t>
  </si>
  <si>
    <t>AUpdata_ta_ca_40_100_4_100_2</t>
  </si>
  <si>
    <t>AUpdata_ta_ca_40_100_4_100_3</t>
  </si>
  <si>
    <t>AUpdata_ta_ca_40_100_4_100_4</t>
  </si>
  <si>
    <t>AUpdata_ta_ca_40_100_4_100_5</t>
  </si>
  <si>
    <t>AUpdata_ta_ca_40_100_4_50_1</t>
  </si>
  <si>
    <t>AUpdata_ta_ca_40_100_4_50_2</t>
  </si>
  <si>
    <t>AUpdata_ta_ca_40_100_4_50_3</t>
  </si>
  <si>
    <t>AUpdata_ta_ca_40_100_4_50_4</t>
  </si>
  <si>
    <t>AUpdata_ta_ca_40_100_4_50_5</t>
  </si>
  <si>
    <t>AUpdata_ta_ca_40_100_5_100_1</t>
  </si>
  <si>
    <t>AUpdata_ta_ca_40_100_5_100_2</t>
  </si>
  <si>
    <t>AUpdata_ta_ca_40_100_5_100_3</t>
  </si>
  <si>
    <t>AUpdata_ta_ca_40_100_5_100_4</t>
  </si>
  <si>
    <t>AUpdata_ta_ca_40_100_5_100_5</t>
  </si>
  <si>
    <t>AUpdata_ta_ca_40_100_5_50_1</t>
  </si>
  <si>
    <t>AUpdata_ta_ca_40_100_5_50_2</t>
  </si>
  <si>
    <t>AUpdata_ta_ca_40_100_5_50_3</t>
  </si>
  <si>
    <t>AUpdata_ta_ca_40_100_5_50_4</t>
  </si>
  <si>
    <t>AUpdata_ta_ca_40_100_5_50_5</t>
  </si>
  <si>
    <t>AUpdata_ta_ca_40_300_2_100_1</t>
  </si>
  <si>
    <t>AUpdata_ta_ca_40_300_2_100_2</t>
  </si>
  <si>
    <t>AUpdata_ta_ca_40_300_2_100_3</t>
  </si>
  <si>
    <t>AUpdata_ta_ca_40_300_2_100_4</t>
  </si>
  <si>
    <t>AUpdata_ta_ca_40_300_2_100_5</t>
  </si>
  <si>
    <t>AUpdata_ta_ca_40_300_2_50_1</t>
  </si>
  <si>
    <t>AUpdata_ta_ca_40_300_2_50_2</t>
  </si>
  <si>
    <t>AUpdata_ta_ca_40_300_2_50_3</t>
  </si>
  <si>
    <t>AUpdata_ta_ca_40_300_2_50_4</t>
  </si>
  <si>
    <t>AUpdata_ta_ca_40_300_2_50_5</t>
  </si>
  <si>
    <t>AUpdata_ta_ca_40_300_3_100_1</t>
  </si>
  <si>
    <t>AUpdata_ta_ca_40_300_3_100_2</t>
  </si>
  <si>
    <t>AUpdata_ta_ca_40_300_3_100_3</t>
  </si>
  <si>
    <t>AUpdata_ta_ca_40_300_3_100_4</t>
  </si>
  <si>
    <t>AUpdata_ta_ca_40_300_3_100_5</t>
  </si>
  <si>
    <t>AUpdata_ta_ca_40_300_3_50_1</t>
  </si>
  <si>
    <t>AUpdata_ta_ca_40_300_3_50_2</t>
  </si>
  <si>
    <t>AUpdata_ta_ca_40_300_3_50_3</t>
  </si>
  <si>
    <t>AUpdata_ta_ca_40_300_3_50_4</t>
  </si>
  <si>
    <t>AUpdata_ta_ca_40_300_3_50_5</t>
  </si>
  <si>
    <t>AUpdata_ta_ca_40_300_4_100_1</t>
  </si>
  <si>
    <t>AUpdata_ta_ca_40_300_4_100_2</t>
  </si>
  <si>
    <t>AUpdata_ta_ca_40_300_4_100_3</t>
  </si>
  <si>
    <t>AUpdata_ta_ca_40_300_4_100_4</t>
  </si>
  <si>
    <t>AUpdata_ta_ca_40_300_4_100_5</t>
  </si>
  <si>
    <t>AUpdata_ta_ca_40_300_4_50_1</t>
  </si>
  <si>
    <t>AUpdata_ta_ca_40_300_4_50_2</t>
  </si>
  <si>
    <t>AUpdata_ta_ca_40_300_4_50_3</t>
  </si>
  <si>
    <t>AUpdata_ta_ca_40_300_4_50_4</t>
  </si>
  <si>
    <t>AUpdata_ta_ca_40_300_4_50_5</t>
  </si>
  <si>
    <t>AUpdata_ta_ca_40_300_5_100_1</t>
  </si>
  <si>
    <t>AUpdata_ta_ca_40_300_5_100_2</t>
  </si>
  <si>
    <t>AUpdata_ta_ca_40_300_5_100_3</t>
  </si>
  <si>
    <t>AUpdata_ta_ca_40_300_5_100_4</t>
  </si>
  <si>
    <t>AUpdata_ta_ca_40_300_5_100_5</t>
  </si>
  <si>
    <t>AUpdata_ta_ca_40_300_5_50_1</t>
  </si>
  <si>
    <t>AUpdata_ta_ca_40_300_5_50_2</t>
  </si>
  <si>
    <t>AUpdata_ta_ca_40_300_5_50_3</t>
  </si>
  <si>
    <t>AUpdata_ta_ca_40_300_5_50_4</t>
  </si>
  <si>
    <t>AUpdata_ta_ca_40_300_5_50_5</t>
  </si>
  <si>
    <t>AUpdata_ta_ca_40_500_2_100_1</t>
  </si>
  <si>
    <t>AUpdata_ta_ca_40_500_2_100_2</t>
  </si>
  <si>
    <t>AUpdata_ta_ca_40_500_2_100_3</t>
  </si>
  <si>
    <t>AUpdata_ta_ca_40_500_2_100_4</t>
  </si>
  <si>
    <t>AUpdata_ta_ca_40_500_2_100_5</t>
  </si>
  <si>
    <t>AUpdata_ta_ca_40_500_2_50_1</t>
  </si>
  <si>
    <t>AUpdata_ta_ca_40_500_2_50_2</t>
  </si>
  <si>
    <t>AUpdata_ta_ca_40_500_2_50_3</t>
  </si>
  <si>
    <t>AUpdata_ta_ca_40_500_2_50_4</t>
  </si>
  <si>
    <t>AUpdata_ta_ca_40_500_2_50_5</t>
  </si>
  <si>
    <t>AUpdata_ta_ca_40_500_3_100_1</t>
  </si>
  <si>
    <t>AUpdata_ta_ca_40_500_3_100_2</t>
  </si>
  <si>
    <t>AUpdata_ta_ca_40_500_3_100_3</t>
  </si>
  <si>
    <t>AUpdata_ta_ca_40_500_3_100_4</t>
  </si>
  <si>
    <t>AUpdata_ta_ca_40_500_3_100_5</t>
  </si>
  <si>
    <t>AUpdata_ta_ca_40_500_3_50_1</t>
  </si>
  <si>
    <t>AUpdata_ta_ca_40_500_3_50_2</t>
  </si>
  <si>
    <t>AUpdata_ta_ca_40_500_3_50_3</t>
  </si>
  <si>
    <t>AUpdata_ta_ca_40_500_3_50_4</t>
  </si>
  <si>
    <t>AUpdata_ta_ca_40_500_3_50_5</t>
  </si>
  <si>
    <t>AUpdata_ta_ca_40_500_4_100_1</t>
  </si>
  <si>
    <t>AUpdata_ta_ca_40_500_4_100_2</t>
  </si>
  <si>
    <t>AUpdata_ta_ca_40_500_4_100_3</t>
  </si>
  <si>
    <t>AUpdata_ta_ca_40_500_4_100_4</t>
  </si>
  <si>
    <t>AUpdata_ta_ca_40_500_4_100_5</t>
  </si>
  <si>
    <t>AUpdata_ta_ca_40_500_4_50_1</t>
  </si>
  <si>
    <t>AUpdata_ta_ca_40_500_4_50_2</t>
  </si>
  <si>
    <t>AUpdata_ta_ca_40_500_4_50_3</t>
  </si>
  <si>
    <t>AUpdata_ta_ca_40_500_4_50_4</t>
  </si>
  <si>
    <t>AUpdata_ta_ca_40_500_4_50_5</t>
  </si>
  <si>
    <t>AUpdata_ta_ca_40_500_5_100_1</t>
  </si>
  <si>
    <t>AUpdata_ta_ca_40_500_5_100_2</t>
  </si>
  <si>
    <t>AUpdata_ta_ca_40_500_5_100_3</t>
  </si>
  <si>
    <t>AUpdata_ta_ca_40_500_5_100_4</t>
  </si>
  <si>
    <t>AUpdata_ta_ca_40_500_5_100_5</t>
  </si>
  <si>
    <t>AUpdata_ta_ca_40_500_5_50_1</t>
  </si>
  <si>
    <t>AUpdata_ta_ca_40_500_5_50_2</t>
  </si>
  <si>
    <t>AUpdata_ta_ca_40_500_5_50_3</t>
  </si>
  <si>
    <t>AUpdata_ta_ca_40_500_5_50_4</t>
  </si>
  <si>
    <t>AUpdata_ta_ca_40_500_5_50_5</t>
  </si>
  <si>
    <t>INSTANCIAS N=60</t>
  </si>
  <si>
    <t>AUpdata_ta_cp_60_100_2_100_1</t>
  </si>
  <si>
    <t>AUpdata_ta_cp_60_100_2_100_2</t>
  </si>
  <si>
    <t>AUpdata_ta_cp_60_100_2_100_3</t>
  </si>
  <si>
    <t>AUpdata_ta_cp_60_100_2_100_4</t>
  </si>
  <si>
    <t>AUpdata_ta_cp_60_100_2_100_5</t>
  </si>
  <si>
    <t>AUpdata_ta_cp_60_100_2_50_1</t>
  </si>
  <si>
    <t>AUpdata_ta_cp_60_100_2_50_2</t>
  </si>
  <si>
    <t>AUpdata_ta_cp_60_100_2_50_3</t>
  </si>
  <si>
    <t>AUpdata_ta_cp_60_100_2_50_4</t>
  </si>
  <si>
    <t>AUpdata_ta_cp_60_100_2_50_5</t>
  </si>
  <si>
    <t>AUpdata_ta_cp_60_100_3_100_1</t>
  </si>
  <si>
    <t>AUpdata_ta_cp_60_100_3_100_2</t>
  </si>
  <si>
    <t>AUpdata_ta_cp_60_100_3_100_3</t>
  </si>
  <si>
    <t>AUpdata_ta_cp_60_100_3_100_4</t>
  </si>
  <si>
    <t>AUpdata_ta_cp_60_100_3_100_5</t>
  </si>
  <si>
    <t>AUpdata_ta_cp_60_100_3_50_1</t>
  </si>
  <si>
    <t>AUpdata_ta_cp_60_100_3_50_2</t>
  </si>
  <si>
    <t>AUpdata_ta_cp_60_100_3_50_3</t>
  </si>
  <si>
    <t>AUpdata_ta_cp_60_100_3_50_4</t>
  </si>
  <si>
    <t>AUpdata_ta_cp_60_100_3_50_5</t>
  </si>
  <si>
    <t>AUpdata_ta_cp_60_100_4_100_1</t>
  </si>
  <si>
    <t>AUpdata_ta_cp_60_100_4_100_2</t>
  </si>
  <si>
    <t>AUpdata_ta_cp_60_100_4_100_3</t>
  </si>
  <si>
    <t>AUpdata_ta_cp_60_100_4_100_4</t>
  </si>
  <si>
    <t>AUpdata_ta_cp_60_100_4_100_5</t>
  </si>
  <si>
    <t>AUpdata_ta_cp_60_100_4_50_1</t>
  </si>
  <si>
    <t>AUpdata_ta_cp_60_100_4_50_2</t>
  </si>
  <si>
    <t>AUpdata_ta_cp_60_100_4_50_3</t>
  </si>
  <si>
    <t>AUpdata_ta_cp_60_100_4_50_4</t>
  </si>
  <si>
    <t>AUpdata_ta_cp_60_100_4_50_5</t>
  </si>
  <si>
    <t>AUpdata_ta_cp_60_100_5_100_1</t>
  </si>
  <si>
    <t>AUpdata_ta_cp_60_100_5_100_2</t>
  </si>
  <si>
    <t>AUpdata_ta_cp_60_100_5_100_3</t>
  </si>
  <si>
    <t>AUpdata_ta_cp_60_100_5_100_4</t>
  </si>
  <si>
    <t>AUpdata_ta_cp_60_100_5_100_5</t>
  </si>
  <si>
    <t>AUpdata_ta_cp_60_100_5_50_1</t>
  </si>
  <si>
    <t>AUpdata_ta_cp_60_100_5_50_2</t>
  </si>
  <si>
    <t>AUpdata_ta_cp_60_100_5_50_3</t>
  </si>
  <si>
    <t>AUpdata_ta_cp_60_100_5_50_4</t>
  </si>
  <si>
    <t>AUpdata_ta_cp_60_100_5_50_5</t>
  </si>
  <si>
    <t>AUpdata_ta_cp_60_300_2_100_1</t>
  </si>
  <si>
    <t>AUpdata_ta_cp_60_300_2_100_2</t>
  </si>
  <si>
    <t>AUpdata_ta_cp_60_300_2_100_3</t>
  </si>
  <si>
    <t>AUpdata_ta_cp_60_300_2_100_4</t>
  </si>
  <si>
    <t>AUpdata_ta_cp_60_300_2_100_5</t>
  </si>
  <si>
    <t>AUpdata_ta_cp_60_300_2_50_1</t>
  </si>
  <si>
    <t>AUpdata_ta_cp_60_300_2_50_2</t>
  </si>
  <si>
    <t>AUpdata_ta_cp_60_300_2_50_3</t>
  </si>
  <si>
    <t>AUpdata_ta_cp_60_300_2_50_4</t>
  </si>
  <si>
    <t>AUpdata_ta_cp_60_300_2_50_5</t>
  </si>
  <si>
    <t>AUpdata_ta_cp_60_300_3_100_1</t>
  </si>
  <si>
    <t>AUpdata_ta_cp_60_300_3_100_2</t>
  </si>
  <si>
    <t>AUpdata_ta_cp_60_300_3_100_3</t>
  </si>
  <si>
    <t>AUpdata_ta_cp_60_300_3_100_4</t>
  </si>
  <si>
    <t>AUpdata_ta_cp_60_300_3_100_5</t>
  </si>
  <si>
    <t>AUpdata_ta_cp_60_300_3_50_1</t>
  </si>
  <si>
    <t>AUpdata_ta_cp_60_300_3_50_2</t>
  </si>
  <si>
    <t>AUpdata_ta_cp_60_300_3_50_3</t>
  </si>
  <si>
    <t>AUpdata_ta_cp_60_300_3_50_4</t>
  </si>
  <si>
    <t>AUpdata_ta_cp_60_300_3_50_5</t>
  </si>
  <si>
    <t>AUpdata_ta_cp_60_300_4_100_1</t>
  </si>
  <si>
    <t>AUpdata_ta_cp_60_300_4_100_2</t>
  </si>
  <si>
    <t>AUpdata_ta_cp_60_300_4_100_3</t>
  </si>
  <si>
    <t>AUpdata_ta_cp_60_300_4_100_4</t>
  </si>
  <si>
    <t>AUpdata_ta_cp_60_300_4_100_5</t>
  </si>
  <si>
    <t>AUpdata_ta_cp_60_300_4_50_1</t>
  </si>
  <si>
    <t>AUpdata_ta_cp_60_300_4_50_2</t>
  </si>
  <si>
    <t>AUpdata_ta_cp_60_300_4_50_3</t>
  </si>
  <si>
    <t>AUpdata_ta_cp_60_300_4_50_4</t>
  </si>
  <si>
    <t>AUpdata_ta_cp_60_300_4_50_5</t>
  </si>
  <si>
    <t>AUpdata_ta_cp_60_300_5_100_1</t>
  </si>
  <si>
    <t>AUpdata_ta_cp_60_300_5_100_2</t>
  </si>
  <si>
    <t>AUpdata_ta_cp_60_300_5_100_3</t>
  </si>
  <si>
    <t>AUpdata_ta_cp_60_300_5_100_4</t>
  </si>
  <si>
    <t>AUpdata_ta_cp_60_300_5_100_5</t>
  </si>
  <si>
    <t>AUpdata_ta_cp_60_300_5_50_1</t>
  </si>
  <si>
    <t>AUpdata_ta_cp_60_300_5_50_2</t>
  </si>
  <si>
    <t>AUpdata_ta_cp_60_300_5_50_3</t>
  </si>
  <si>
    <t>AUpdata_ta_cp_60_300_5_50_4</t>
  </si>
  <si>
    <t>AUpdata_ta_cp_60_300_5_50_5</t>
  </si>
  <si>
    <t>AUpdata_ta_cp_60_500_2_100_1</t>
  </si>
  <si>
    <t>AUpdata_ta_cp_60_500_2_100_2</t>
  </si>
  <si>
    <t>AUpdata_ta_cp_60_500_2_100_3</t>
  </si>
  <si>
    <t>AUpdata_ta_cp_60_500_2_100_4</t>
  </si>
  <si>
    <t>AUpdata_ta_cp_60_500_2_100_5</t>
  </si>
  <si>
    <t>AUpdata_ta_cp_60_500_2_50_1</t>
  </si>
  <si>
    <t>AUpdata_ta_cp_60_500_2_50_2</t>
  </si>
  <si>
    <t>AUpdata_ta_cp_60_500_2_50_3</t>
  </si>
  <si>
    <t>AUpdata_ta_cp_60_500_2_50_4</t>
  </si>
  <si>
    <t>AUpdata_ta_cp_60_500_2_50_5</t>
  </si>
  <si>
    <t>AUpdata_ta_cp_60_500_3_100_1</t>
  </si>
  <si>
    <t>AUpdata_ta_cp_60_500_3_100_2</t>
  </si>
  <si>
    <t>AUpdata_ta_cp_60_500_3_100_3</t>
  </si>
  <si>
    <t>AUpdata_ta_cp_60_500_3_100_4</t>
  </si>
  <si>
    <t>AUpdata_ta_cp_60_500_3_100_5</t>
  </si>
  <si>
    <t>AUpdata_ta_cp_60_500_3_50_1</t>
  </si>
  <si>
    <t>AUpdata_ta_cp_60_500_3_50_2</t>
  </si>
  <si>
    <t>AUpdata_ta_cp_60_500_3_50_3</t>
  </si>
  <si>
    <t>AUpdata_ta_cp_60_500_3_50_4</t>
  </si>
  <si>
    <t>AUpdata_ta_cp_60_500_3_50_5</t>
  </si>
  <si>
    <t>AUpdata_ta_cp_60_500_4_100_1</t>
  </si>
  <si>
    <t>AUpdata_ta_cp_60_500_4_100_2</t>
  </si>
  <si>
    <t>AUpdata_ta_cp_60_500_4_100_3</t>
  </si>
  <si>
    <t>AUpdata_ta_cp_60_500_4_100_4</t>
  </si>
  <si>
    <t>AUpdata_ta_cp_60_500_4_100_5</t>
  </si>
  <si>
    <t>AUpdata_ta_cp_60_500_4_50_1</t>
  </si>
  <si>
    <t>AUpdata_ta_cp_60_500_4_50_2</t>
  </si>
  <si>
    <t>AUpdata_ta_cp_60_500_4_50_3</t>
  </si>
  <si>
    <t>AUpdata_ta_cp_60_500_4_50_4</t>
  </si>
  <si>
    <t>AUpdata_ta_cp_60_500_4_50_5</t>
  </si>
  <si>
    <t>AUpdata_ta_cp_60_500_5_100_1</t>
  </si>
  <si>
    <t>AUpdata_ta_cp_60_500_5_100_2</t>
  </si>
  <si>
    <t>AUpdata_ta_cp_60_500_5_100_3</t>
  </si>
  <si>
    <t>AUpdata_ta_cp_60_500_5_100_4</t>
  </si>
  <si>
    <t>AUpdata_ta_cp_60_500_5_100_5</t>
  </si>
  <si>
    <t>AUpdata_ta_cp_60_500_5_50_1</t>
  </si>
  <si>
    <t>AUpdata_ta_cp_60_500_5_50_2</t>
  </si>
  <si>
    <t>AUpdata_ta_cp_60_500_5_50_3</t>
  </si>
  <si>
    <t>AUpdata_ta_cp_60_500_5_50_4</t>
  </si>
  <si>
    <t>AUpdata_ta_cp_60_500_5_50_5</t>
  </si>
  <si>
    <t>AUpdata_ta_ca_60_100_2_100_1</t>
  </si>
  <si>
    <t>AUpdata_ta_ca_60_100_2_100_2</t>
  </si>
  <si>
    <t>AUpdata_ta_ca_60_100_2_100_3</t>
  </si>
  <si>
    <t>AUpdata_ta_ca_60_100_2_100_4</t>
  </si>
  <si>
    <t>AUpdata_ta_ca_60_100_2_100_5</t>
  </si>
  <si>
    <t>AUpdata_ta_ca_60_100_2_50_1</t>
  </si>
  <si>
    <t>AUpdata_ta_ca_60_100_2_50_2</t>
  </si>
  <si>
    <t>AUpdata_ta_ca_60_100_2_50_3</t>
  </si>
  <si>
    <t>AUpdata_ta_ca_60_100_2_50_4</t>
  </si>
  <si>
    <t>AUpdata_ta_ca_60_100_2_50_5</t>
  </si>
  <si>
    <t>AUpdata_ta_ca_60_100_3_100_1</t>
  </si>
  <si>
    <t>AUpdata_ta_ca_60_100_3_100_2</t>
  </si>
  <si>
    <t>AUpdata_ta_ca_60_100_3_100_3</t>
  </si>
  <si>
    <t>AUpdata_ta_ca_60_100_3_100_4</t>
  </si>
  <si>
    <t>AUpdata_ta_ca_60_100_3_100_5</t>
  </si>
  <si>
    <t>AUpdata_ta_ca_60_100_3_50_1</t>
  </si>
  <si>
    <t>AUpdata_ta_ca_60_100_3_50_2</t>
  </si>
  <si>
    <t>AUpdata_ta_ca_60_100_3_50_3</t>
  </si>
  <si>
    <t>AUpdata_ta_ca_60_100_3_50_4</t>
  </si>
  <si>
    <t>AUpdata_ta_ca_60_100_3_50_5</t>
  </si>
  <si>
    <t>AUpdata_ta_ca_60_100_4_100_1</t>
  </si>
  <si>
    <t>AUpdata_ta_ca_60_100_4_100_2</t>
  </si>
  <si>
    <t>AUpdata_ta_ca_60_100_4_100_3</t>
  </si>
  <si>
    <t>AUpdata_ta_ca_60_100_4_100_4</t>
  </si>
  <si>
    <t>AUpdata_ta_ca_60_100_4_100_5</t>
  </si>
  <si>
    <t>AUpdata_ta_ca_60_100_4_50_1</t>
  </si>
  <si>
    <t>AUpdata_ta_ca_60_100_4_50_2</t>
  </si>
  <si>
    <t>AUpdata_ta_ca_60_100_4_50_3</t>
  </si>
  <si>
    <t>AUpdata_ta_ca_60_100_4_50_4</t>
  </si>
  <si>
    <t>AUpdata_ta_ca_60_100_4_50_5</t>
  </si>
  <si>
    <t>AUpdata_ta_ca_60_100_5_100_1</t>
  </si>
  <si>
    <t>AUpdata_ta_ca_60_100_5_100_2</t>
  </si>
  <si>
    <t>AUpdata_ta_ca_60_100_5_100_3</t>
  </si>
  <si>
    <t>AUpdata_ta_ca_60_100_5_100_4</t>
  </si>
  <si>
    <t>AUpdata_ta_ca_60_100_5_100_5</t>
  </si>
  <si>
    <t>AUpdata_ta_ca_60_100_5_50_1</t>
  </si>
  <si>
    <t>AUpdata_ta_ca_60_100_5_50_2</t>
  </si>
  <si>
    <t>AUpdata_ta_ca_60_100_5_50_3</t>
  </si>
  <si>
    <t>AUpdata_ta_ca_60_100_5_50_4</t>
  </si>
  <si>
    <t>AUpdata_ta_ca_60_100_5_50_5</t>
  </si>
  <si>
    <t>AUpdata_ta_ca_60_300_2_100_1</t>
  </si>
  <si>
    <t>AUpdata_ta_ca_60_300_2_100_2</t>
  </si>
  <si>
    <t>AUpdata_ta_ca_60_300_2_100_3</t>
  </si>
  <si>
    <t>AUpdata_ta_ca_60_300_2_100_4</t>
  </si>
  <si>
    <t>AUpdata_ta_ca_60_300_2_100_5</t>
  </si>
  <si>
    <t>AUpdata_ta_ca_60_300_2_50_1</t>
  </si>
  <si>
    <t>AUpdata_ta_ca_60_300_2_50_2</t>
  </si>
  <si>
    <t>AUpdata_ta_ca_60_300_2_50_3</t>
  </si>
  <si>
    <t>AUpdata_ta_ca_60_300_2_50_4</t>
  </si>
  <si>
    <t>AUpdata_ta_ca_60_300_2_50_5</t>
  </si>
  <si>
    <t>AUpdata_ta_ca_60_300_3_100_1</t>
  </si>
  <si>
    <t>AUpdata_ta_ca_60_300_3_100_2</t>
  </si>
  <si>
    <t>AUpdata_ta_ca_60_300_3_100_3</t>
  </si>
  <si>
    <t>AUpdata_ta_ca_60_300_3_100_4</t>
  </si>
  <si>
    <t>AUpdata_ta_ca_60_300_3_100_5</t>
  </si>
  <si>
    <t>AUpdata_ta_ca_60_300_3_50_1</t>
  </si>
  <si>
    <t>AUpdata_ta_ca_60_300_3_50_2</t>
  </si>
  <si>
    <t>AUpdata_ta_ca_60_300_3_50_3</t>
  </si>
  <si>
    <t>AUpdata_ta_ca_60_300_3_50_4</t>
  </si>
  <si>
    <t>AUpdata_ta_ca_60_300_3_50_5</t>
  </si>
  <si>
    <t>AUpdata_ta_ca_60_300_4_100_1</t>
  </si>
  <si>
    <t>AUpdata_ta_ca_60_300_4_100_2</t>
  </si>
  <si>
    <t>AUpdata_ta_ca_60_300_4_100_3</t>
  </si>
  <si>
    <t>AUpdata_ta_ca_60_300_4_100_4</t>
  </si>
  <si>
    <t>AUpdata_ta_ca_60_300_4_100_5</t>
  </si>
  <si>
    <t>AUpdata_ta_ca_60_300_4_50_1</t>
  </si>
  <si>
    <t>AUpdata_ta_ca_60_300_4_50_2</t>
  </si>
  <si>
    <t>AUpdata_ta_ca_60_300_4_50_3</t>
  </si>
  <si>
    <t>AUpdata_ta_ca_60_300_4_50_4</t>
  </si>
  <si>
    <t>AUpdata_ta_ca_60_300_4_50_5</t>
  </si>
  <si>
    <t>AUpdata_ta_ca_60_300_5_100_1</t>
  </si>
  <si>
    <t>AUpdata_ta_ca_60_300_5_100_2</t>
  </si>
  <si>
    <t>AUpdata_ta_ca_60_300_5_100_3</t>
  </si>
  <si>
    <t>AUpdata_ta_ca_60_300_5_100_4</t>
  </si>
  <si>
    <t>AUpdata_ta_ca_60_300_5_100_5</t>
  </si>
  <si>
    <t>AUpdata_ta_ca_60_300_5_50_1</t>
  </si>
  <si>
    <t>AUpdata_ta_ca_60_300_5_50_2</t>
  </si>
  <si>
    <t>AUpdata_ta_ca_60_300_5_50_3</t>
  </si>
  <si>
    <t>AUpdata_ta_ca_60_300_5_50_4</t>
  </si>
  <si>
    <t>AUpdata_ta_ca_60_300_5_50_5</t>
  </si>
  <si>
    <t>AUpdata_ta_ca_60_500_2_100_1</t>
  </si>
  <si>
    <t>AUpdata_ta_ca_60_500_2_100_2</t>
  </si>
  <si>
    <t>AUpdata_ta_ca_60_500_2_100_3</t>
  </si>
  <si>
    <t>AUpdata_ta_ca_60_500_2_100_4</t>
  </si>
  <si>
    <t>AUpdata_ta_ca_60_500_2_100_5</t>
  </si>
  <si>
    <t>AUpdata_ta_ca_60_500_2_50_1</t>
  </si>
  <si>
    <t>AUpdata_ta_ca_60_500_2_50_2</t>
  </si>
  <si>
    <t>AUpdata_ta_ca_60_500_2_50_3</t>
  </si>
  <si>
    <t>AUpdata_ta_ca_60_500_2_50_4</t>
  </si>
  <si>
    <t>AUpdata_ta_ca_60_500_2_50_5</t>
  </si>
  <si>
    <t>AUpdata_ta_ca_60_500_3_100_1</t>
  </si>
  <si>
    <t>AUpdata_ta_ca_60_500_3_100_2</t>
  </si>
  <si>
    <t>AUpdata_ta_ca_60_500_3_100_3</t>
  </si>
  <si>
    <t>AUpdata_ta_ca_60_500_3_100_4</t>
  </si>
  <si>
    <t>AUpdata_ta_ca_60_500_3_100_5</t>
  </si>
  <si>
    <t>AUpdata_ta_ca_60_500_3_50_1</t>
  </si>
  <si>
    <t>AUpdata_ta_ca_60_500_3_50_2</t>
  </si>
  <si>
    <t>AUpdata_ta_ca_60_500_3_50_3</t>
  </si>
  <si>
    <t>AUpdata_ta_ca_60_500_3_50_4</t>
  </si>
  <si>
    <t>AUpdata_ta_ca_60_500_3_50_5</t>
  </si>
  <si>
    <t>AUpdata_ta_ca_60_500_4_100_1</t>
  </si>
  <si>
    <t>AUpdata_ta_ca_60_500_4_100_2</t>
  </si>
  <si>
    <t>AUpdata_ta_ca_60_500_4_100_3</t>
  </si>
  <si>
    <t>AUpdata_ta_ca_60_500_4_100_4</t>
  </si>
  <si>
    <t>AUpdata_ta_ca_60_500_4_100_5</t>
  </si>
  <si>
    <t>AUpdata_ta_ca_60_500_4_50_1</t>
  </si>
  <si>
    <t>AUpdata_ta_ca_60_500_4_50_2</t>
  </si>
  <si>
    <t>AUpdata_ta_ca_60_500_4_50_3</t>
  </si>
  <si>
    <t>AUpdata_ta_ca_60_500_4_50_4</t>
  </si>
  <si>
    <t>AUpdata_ta_ca_60_500_4_50_5</t>
  </si>
  <si>
    <t>AUpdata_ta_ca_60_500_5_100_1</t>
  </si>
  <si>
    <t>AUpdata_ta_ca_60_500_5_100_2</t>
  </si>
  <si>
    <t>AUpdata_ta_ca_60_500_5_100_3</t>
  </si>
  <si>
    <t>AUpdata_ta_ca_60_500_5_100_4</t>
  </si>
  <si>
    <t>AUpdata_ta_ca_60_500_5_100_5</t>
  </si>
  <si>
    <t>AUpdata_ta_ca_60_500_5_50_1</t>
  </si>
  <si>
    <t>AUpdata_ta_ca_60_500_5_50_2</t>
  </si>
  <si>
    <t>AUpdata_ta_ca_60_500_5_50_3</t>
  </si>
  <si>
    <t>AUpdata_ta_ca_60_500_5_50_4</t>
  </si>
  <si>
    <t>AUpdata_ta_ca_60_500_5_50_5</t>
  </si>
  <si>
    <t>INSTANCIAS N=80</t>
  </si>
  <si>
    <t>AUpdata_ta_cp_80_300_2_100_1</t>
  </si>
  <si>
    <t>AUpdata_ta_cp_80_300_2_100_2</t>
  </si>
  <si>
    <t>AUpdata_ta_cp_80_300_2_100_3</t>
  </si>
  <si>
    <t>AUpdata_ta_cp_80_300_2_100_4</t>
  </si>
  <si>
    <t>AUpdata_ta_cp_80_300_2_100_5</t>
  </si>
  <si>
    <t>AUpdata_ta_cp_80_300_2_50_1</t>
  </si>
  <si>
    <t>AUpdata_ta_cp_80_300_2_50_2</t>
  </si>
  <si>
    <t>AUpdata_ta_cp_80_300_2_50_3</t>
  </si>
  <si>
    <t>AUpdata_ta_cp_80_300_2_50_4</t>
  </si>
  <si>
    <t>AUpdata_ta_cp_80_300_2_50_5</t>
  </si>
  <si>
    <t>AUpdata_ta_cp_80_300_3_100_1</t>
  </si>
  <si>
    <t>AUpdata_ta_cp_80_300_3_100_2</t>
  </si>
  <si>
    <t>AUpdata_ta_cp_80_300_3_100_3</t>
  </si>
  <si>
    <t>AUpdata_ta_cp_80_300_3_100_4</t>
  </si>
  <si>
    <t>AUpdata_ta_cp_80_300_3_100_5</t>
  </si>
  <si>
    <t>AUpdata_ta_cp_80_300_3_50_1</t>
  </si>
  <si>
    <t>AUpdata_ta_cp_80_300_3_50_2</t>
  </si>
  <si>
    <t>AUpdata_ta_cp_80_300_3_50_3</t>
  </si>
  <si>
    <t>AUpdata_ta_cp_80_300_3_50_4</t>
  </si>
  <si>
    <t>AUpdata_ta_cp_80_300_3_50_5</t>
  </si>
  <si>
    <t>AUpdata_ta_cp_80_300_4_100_1</t>
  </si>
  <si>
    <t>AUpdata_ta_cp_80_300_4_100_2</t>
  </si>
  <si>
    <t>AUpdata_ta_cp_80_300_4_100_3</t>
  </si>
  <si>
    <t>AUpdata_ta_cp_80_300_4_100_4</t>
  </si>
  <si>
    <t>AUpdata_ta_cp_80_300_4_100_5</t>
  </si>
  <si>
    <t>AUpdata_ta_cp_80_300_4_50_1</t>
  </si>
  <si>
    <t>AUpdata_ta_cp_80_300_4_50_2</t>
  </si>
  <si>
    <t>AUpdata_ta_cp_80_300_4_50_3</t>
  </si>
  <si>
    <t>AUpdata_ta_cp_80_300_4_50_4</t>
  </si>
  <si>
    <t>AUpdata_ta_cp_80_300_4_50_5</t>
  </si>
  <si>
    <t>AUpdata_ta_cp_80_300_5_100_1</t>
  </si>
  <si>
    <t>AUpdata_ta_cp_80_300_5_100_2</t>
  </si>
  <si>
    <t>AUpdata_ta_cp_80_300_5_100_3</t>
  </si>
  <si>
    <t>AUpdata_ta_cp_80_300_5_100_4</t>
  </si>
  <si>
    <t>AUpdata_ta_cp_80_300_5_100_5</t>
  </si>
  <si>
    <t>AUpdata_ta_cp_80_300_5_50_1</t>
  </si>
  <si>
    <t>AUpdata_ta_cp_80_300_5_50_2</t>
  </si>
  <si>
    <t>AUpdata_ta_cp_80_300_5_50_3</t>
  </si>
  <si>
    <t>AUpdata_ta_cp_80_300_5_50_4</t>
  </si>
  <si>
    <t>AUpdata_ta_cp_80_300_5_50_5</t>
  </si>
  <si>
    <t>AUpdata_ta_cp_80_400_2_100_1</t>
  </si>
  <si>
    <t>AUpdata_ta_cp_80_400_2_100_2</t>
  </si>
  <si>
    <t>AUpdata_ta_cp_80_400_2_100_3</t>
  </si>
  <si>
    <t>AUpdata_ta_cp_80_400_2_100_4</t>
  </si>
  <si>
    <t>AUpdata_ta_cp_80_400_2_100_5</t>
  </si>
  <si>
    <t>AUpdata_ta_cp_80_400_2_50_1</t>
  </si>
  <si>
    <t>AUpdata_ta_cp_80_400_2_50_2</t>
  </si>
  <si>
    <t>AUpdata_ta_cp_80_400_2_50_3</t>
  </si>
  <si>
    <t>AUpdata_ta_cp_80_400_2_50_4</t>
  </si>
  <si>
    <t>AUpdata_ta_cp_80_400_2_50_5</t>
  </si>
  <si>
    <t>AUpdata_ta_cp_80_400_3_100_1</t>
  </si>
  <si>
    <t>AUpdata_ta_cp_80_400_3_100_2</t>
  </si>
  <si>
    <t>AUpdata_ta_cp_80_400_3_100_3</t>
  </si>
  <si>
    <t>AUpdata_ta_cp_80_400_3_100_4</t>
  </si>
  <si>
    <t>AUpdata_ta_cp_80_400_3_100_5</t>
  </si>
  <si>
    <t>AUpdata_ta_cp_80_400_3_50_1</t>
  </si>
  <si>
    <t>AUpdata_ta_cp_80_400_3_50_2</t>
  </si>
  <si>
    <t>AUpdata_ta_cp_80_400_3_50_3</t>
  </si>
  <si>
    <t>AUpdata_ta_cp_80_400_3_50_4</t>
  </si>
  <si>
    <t>AUpdata_ta_cp_80_400_3_50_5</t>
  </si>
  <si>
    <t>AUpdata_ta_cp_80_400_4_100_1</t>
  </si>
  <si>
    <t>AUpdata_ta_cp_80_400_4_100_2</t>
  </si>
  <si>
    <t>AUpdata_ta_cp_80_400_4_100_3</t>
  </si>
  <si>
    <t>AUpdata_ta_cp_80_400_4_100_4</t>
  </si>
  <si>
    <t>AUpdata_ta_cp_80_400_4_100_5</t>
  </si>
  <si>
    <t>AUpdata_ta_cp_80_400_4_50_1</t>
  </si>
  <si>
    <t>AUpdata_ta_cp_80_400_4_50_2</t>
  </si>
  <si>
    <t>AUpdata_ta_cp_80_400_4_50_3</t>
  </si>
  <si>
    <t>AUpdata_ta_cp_80_400_4_50_4</t>
  </si>
  <si>
    <t>AUpdata_ta_cp_80_400_4_50_5</t>
  </si>
  <si>
    <t>AUpdata_ta_cp_80_400_5_100_1</t>
  </si>
  <si>
    <t>AUpdata_ta_cp_80_400_5_100_2</t>
  </si>
  <si>
    <t>AUpdata_ta_cp_80_400_5_100_3</t>
  </si>
  <si>
    <t>AUpdata_ta_cp_80_400_5_100_4</t>
  </si>
  <si>
    <t>AUpdata_ta_cp_80_400_5_100_5</t>
  </si>
  <si>
    <t>AUpdata_ta_cp_80_400_5_50_1</t>
  </si>
  <si>
    <t>AUpdata_ta_cp_80_400_5_50_2</t>
  </si>
  <si>
    <t>AUpdata_ta_cp_80_400_5_50_3</t>
  </si>
  <si>
    <t>AUpdata_ta_cp_80_400_5_50_4</t>
  </si>
  <si>
    <t>AUpdata_ta_cp_80_400_5_50_5</t>
  </si>
  <si>
    <t>AUpdata_ta_cp_80_500_2_100_1</t>
  </si>
  <si>
    <t>AUpdata_ta_cp_80_500_2_100_2</t>
  </si>
  <si>
    <t>AUpdata_ta_cp_80_500_2_100_3</t>
  </si>
  <si>
    <t>AUpdata_ta_cp_80_500_2_100_4</t>
  </si>
  <si>
    <t>AUpdata_ta_cp_80_500_2_100_5</t>
  </si>
  <si>
    <t>AUpdata_ta_cp_80_500_2_50_1</t>
  </si>
  <si>
    <t>AUpdata_ta_cp_80_500_2_50_2</t>
  </si>
  <si>
    <t>AUpdata_ta_cp_80_500_2_50_3</t>
  </si>
  <si>
    <t>AUpdata_ta_cp_80_500_2_50_4</t>
  </si>
  <si>
    <t>AUpdata_ta_cp_80_500_2_50_5</t>
  </si>
  <si>
    <t>AUpdata_ta_cp_80_500_3_100_1</t>
  </si>
  <si>
    <t>AUpdata_ta_cp_80_500_3_100_2</t>
  </si>
  <si>
    <t>AUpdata_ta_cp_80_500_3_100_3</t>
  </si>
  <si>
    <t>AUpdata_ta_cp_80_500_3_100_4</t>
  </si>
  <si>
    <t>AUpdata_ta_cp_80_500_3_100_5</t>
  </si>
  <si>
    <t>AUpdata_ta_cp_80_500_3_50_1</t>
  </si>
  <si>
    <t>AUpdata_ta_cp_80_500_3_50_2</t>
  </si>
  <si>
    <t>AUpdata_ta_cp_80_500_3_50_3</t>
  </si>
  <si>
    <t>AUpdata_ta_cp_80_500_3_50_4</t>
  </si>
  <si>
    <t>AUpdata_ta_cp_80_500_3_50_5</t>
  </si>
  <si>
    <t>AUpdata_ta_cp_80_500_4_100_1</t>
  </si>
  <si>
    <t>AUpdata_ta_cp_80_500_4_100_2</t>
  </si>
  <si>
    <t>AUpdata_ta_cp_80_500_4_100_3</t>
  </si>
  <si>
    <t>AUpdata_ta_cp_80_500_4_100_4</t>
  </si>
  <si>
    <t>AUpdata_ta_cp_80_500_4_100_5</t>
  </si>
  <si>
    <t>AUpdata_ta_cp_80_500_4_50_1</t>
  </si>
  <si>
    <t>AUpdata_ta_cp_80_500_4_50_2</t>
  </si>
  <si>
    <t>AUpdata_ta_cp_80_500_4_50_3</t>
  </si>
  <si>
    <t>AUpdata_ta_cp_80_500_4_50_4</t>
  </si>
  <si>
    <t>AUpdata_ta_cp_80_500_4_50_5</t>
  </si>
  <si>
    <t>AUpdata_ta_cp_80_500_5_100_1</t>
  </si>
  <si>
    <t>AUpdata_ta_cp_80_500_5_100_2</t>
  </si>
  <si>
    <t>AUpdata_ta_cp_80_500_5_100_3</t>
  </si>
  <si>
    <t>AUpdata_ta_cp_80_500_5_100_4</t>
  </si>
  <si>
    <t>AUpdata_ta_cp_80_500_5_100_5</t>
  </si>
  <si>
    <t>AUpdata_ta_cp_80_500_5_50_1</t>
  </si>
  <si>
    <t>AUpdata_ta_cp_80_500_5_50_2</t>
  </si>
  <si>
    <t>AUpdata_ta_cp_80_500_5_50_3</t>
  </si>
  <si>
    <t>AUpdata_ta_cp_80_500_5_50_4</t>
  </si>
  <si>
    <t>AUpdata_ta_cp_80_500_5_50_5</t>
  </si>
  <si>
    <t>AUpdata_ta_ca_80_300_2_100_1</t>
  </si>
  <si>
    <t>AUpdata_ta_ca_80_300_2_100_2</t>
  </si>
  <si>
    <t>AUpdata_ta_ca_80_300_2_100_3</t>
  </si>
  <si>
    <t>AUpdata_ta_ca_80_300_2_100_4</t>
  </si>
  <si>
    <t>AUpdata_ta_ca_80_300_2_100_5</t>
  </si>
  <si>
    <t>AUpdata_ta_ca_80_300_2_50_1</t>
  </si>
  <si>
    <t>AUpdata_ta_ca_80_300_2_50_2</t>
  </si>
  <si>
    <t>AUpdata_ta_ca_80_300_2_50_3</t>
  </si>
  <si>
    <t>AUpdata_ta_ca_80_300_2_50_4</t>
  </si>
  <si>
    <t>AUpdata_ta_ca_80_300_2_50_5</t>
  </si>
  <si>
    <t>AUpdata_ta_ca_80_300_3_100_1</t>
  </si>
  <si>
    <t>AUpdata_ta_ca_80_300_3_100_2</t>
  </si>
  <si>
    <t>AUpdata_ta_ca_80_300_3_100_3</t>
  </si>
  <si>
    <t>AUpdata_ta_ca_80_300_3_100_4</t>
  </si>
  <si>
    <t>AUpdata_ta_ca_80_300_3_100_5</t>
  </si>
  <si>
    <t>AUpdata_ta_ca_80_300_3_50_1</t>
  </si>
  <si>
    <t>AUpdata_ta_ca_80_300_3_50_2</t>
  </si>
  <si>
    <t>AUpdata_ta_ca_80_300_3_50_3</t>
  </si>
  <si>
    <t>AUpdata_ta_ca_80_300_3_50_4</t>
  </si>
  <si>
    <t>AUpdata_ta_ca_80_300_3_50_5</t>
  </si>
  <si>
    <t>AUpdata_ta_ca_80_300_4_100_1</t>
  </si>
  <si>
    <t>AUpdata_ta_ca_80_300_4_100_2</t>
  </si>
  <si>
    <t>AUpdata_ta_ca_80_300_4_100_3</t>
  </si>
  <si>
    <t>AUpdata_ta_ca_80_300_4_100_4</t>
  </si>
  <si>
    <t>AUpdata_ta_ca_80_300_4_100_5</t>
  </si>
  <si>
    <t>AUpdata_ta_ca_80_300_4_50_1</t>
  </si>
  <si>
    <t>AUpdata_ta_ca_80_300_4_50_2</t>
  </si>
  <si>
    <t>AUpdata_ta_ca_80_300_4_50_3</t>
  </si>
  <si>
    <t>AUpdata_ta_ca_80_300_4_50_4</t>
  </si>
  <si>
    <t>AUpdata_ta_ca_80_300_4_50_5</t>
  </si>
  <si>
    <t>AUpdata_ta_ca_80_300_5_100_1</t>
  </si>
  <si>
    <t>AUpdata_ta_ca_80_300_5_100_2</t>
  </si>
  <si>
    <t>AUpdata_ta_ca_80_300_5_100_3</t>
  </si>
  <si>
    <t>AUpdata_ta_ca_80_300_5_100_4</t>
  </si>
  <si>
    <t>AUpdata_ta_ca_80_300_5_100_5</t>
  </si>
  <si>
    <t>AUpdata_ta_ca_80_300_5_50_1</t>
  </si>
  <si>
    <t>AUpdata_ta_ca_80_300_5_50_2</t>
  </si>
  <si>
    <t>AUpdata_ta_ca_80_300_5_50_3</t>
  </si>
  <si>
    <t>AUpdata_ta_ca_80_300_5_50_4</t>
  </si>
  <si>
    <t>AUpdata_ta_ca_80_300_5_50_5</t>
  </si>
  <si>
    <t>AUpdata_ta_ca_80_400_2_100_1</t>
  </si>
  <si>
    <t>AUpdata_ta_ca_80_400_2_100_2</t>
  </si>
  <si>
    <t>AUpdata_ta_ca_80_400_2_100_3</t>
  </si>
  <si>
    <t>AUpdata_ta_ca_80_400_2_100_4</t>
  </si>
  <si>
    <t>AUpdata_ta_ca_80_400_2_100_5</t>
  </si>
  <si>
    <t>AUpdata_ta_ca_80_400_2_50_1</t>
  </si>
  <si>
    <t>AUpdata_ta_ca_80_400_2_50_2</t>
  </si>
  <si>
    <t>AUpdata_ta_ca_80_400_2_50_3</t>
  </si>
  <si>
    <t>AUpdata_ta_ca_80_400_2_50_4</t>
  </si>
  <si>
    <t>AUpdata_ta_ca_80_400_2_50_5</t>
  </si>
  <si>
    <t>AUpdata_ta_ca_80_400_3_100_1</t>
  </si>
  <si>
    <t>AUpdata_ta_ca_80_400_3_100_2</t>
  </si>
  <si>
    <t>AUpdata_ta_ca_80_400_3_100_3</t>
  </si>
  <si>
    <t>AUpdata_ta_ca_80_400_3_100_4</t>
  </si>
  <si>
    <t>AUpdata_ta_ca_80_400_3_100_5</t>
  </si>
  <si>
    <t>AUpdata_ta_ca_80_400_3_50_1</t>
  </si>
  <si>
    <t>AUpdata_ta_ca_80_400_3_50_2</t>
  </si>
  <si>
    <t>AUpdata_ta_ca_80_400_3_50_3</t>
  </si>
  <si>
    <t>AUpdata_ta_ca_80_400_3_50_4</t>
  </si>
  <si>
    <t>AUpdata_ta_ca_80_400_3_50_5</t>
  </si>
  <si>
    <t>AUpdata_ta_ca_80_400_4_100_1</t>
  </si>
  <si>
    <t>AUpdata_ta_ca_80_400_4_100_2</t>
  </si>
  <si>
    <t>AUpdata_ta_ca_80_400_4_100_3</t>
  </si>
  <si>
    <t>AUpdata_ta_ca_80_400_4_100_4</t>
  </si>
  <si>
    <t>AUpdata_ta_ca_80_400_4_100_5</t>
  </si>
  <si>
    <t>AUpdata_ta_ca_80_400_4_50_1</t>
  </si>
  <si>
    <t>AUpdata_ta_ca_80_400_4_50_2</t>
  </si>
  <si>
    <t>AUpdata_ta_ca_80_400_4_50_3</t>
  </si>
  <si>
    <t>AUpdata_ta_ca_80_400_4_50_4</t>
  </si>
  <si>
    <t>AUpdata_ta_ca_80_400_4_50_5</t>
  </si>
  <si>
    <t>AUpdata_ta_ca_80_400_5_100_1</t>
  </si>
  <si>
    <t>AUpdata_ta_ca_80_400_5_100_2</t>
  </si>
  <si>
    <t>AUpdata_ta_ca_80_400_5_100_3</t>
  </si>
  <si>
    <t>AUpdata_ta_ca_80_400_5_100_4</t>
  </si>
  <si>
    <t>AUpdata_ta_ca_80_400_5_100_5</t>
  </si>
  <si>
    <t>AUpdata_ta_ca_80_400_5_50_1</t>
  </si>
  <si>
    <t>AUpdata_ta_ca_80_400_5_50_2</t>
  </si>
  <si>
    <t>AUpdata_ta_ca_80_400_5_50_3</t>
  </si>
  <si>
    <t>AUpdata_ta_ca_80_400_5_50_4</t>
  </si>
  <si>
    <t>AUpdata_ta_ca_80_400_5_50_5</t>
  </si>
  <si>
    <t>AUpdata_ta_ca_80_500_2_100_1</t>
  </si>
  <si>
    <t>AUpdata_ta_ca_80_500_2_100_2</t>
  </si>
  <si>
    <t>AUpdata_ta_ca_80_500_2_100_3</t>
  </si>
  <si>
    <t>AUpdata_ta_ca_80_500_2_100_4</t>
  </si>
  <si>
    <t>AUpdata_ta_ca_80_500_2_100_5</t>
  </si>
  <si>
    <t>AUpdata_ta_ca_80_500_2_50_1</t>
  </si>
  <si>
    <t>AUpdata_ta_ca_80_500_2_50_2</t>
  </si>
  <si>
    <t>AUpdata_ta_ca_80_500_2_50_3</t>
  </si>
  <si>
    <t>AUpdata_ta_ca_80_500_2_50_4</t>
  </si>
  <si>
    <t>AUpdata_ta_ca_80_500_2_50_5</t>
  </si>
  <si>
    <t>AUpdata_ta_ca_80_500_3_100_1</t>
  </si>
  <si>
    <t>AUpdata_ta_ca_80_500_3_100_2</t>
  </si>
  <si>
    <t>AUpdata_ta_ca_80_500_3_100_3</t>
  </si>
  <si>
    <t>AUpdata_ta_ca_80_500_3_100_4</t>
  </si>
  <si>
    <t>AUpdata_ta_ca_80_500_3_100_5</t>
  </si>
  <si>
    <t>AUpdata_ta_ca_80_500_3_50_1</t>
  </si>
  <si>
    <t>AUpdata_ta_ca_80_500_3_50_2</t>
  </si>
  <si>
    <t>AUpdata_ta_ca_80_500_3_50_3</t>
  </si>
  <si>
    <t>AUpdata_ta_ca_80_500_3_50_4</t>
  </si>
  <si>
    <t>AUpdata_ta_ca_80_500_3_50_5</t>
  </si>
  <si>
    <t>AUpdata_ta_ca_80_500_4_100_1</t>
  </si>
  <si>
    <t>AUpdata_ta_ca_80_500_4_100_2</t>
  </si>
  <si>
    <t>AUpdata_ta_ca_80_500_4_100_3</t>
  </si>
  <si>
    <t>AUpdata_ta_ca_80_500_4_100_4</t>
  </si>
  <si>
    <t>AUpdata_ta_ca_80_500_4_100_5</t>
  </si>
  <si>
    <t>AUpdata_ta_ca_80_500_4_50_1</t>
  </si>
  <si>
    <t>AUpdata_ta_ca_80_500_4_50_2</t>
  </si>
  <si>
    <t>AUpdata_ta_ca_80_500_4_50_3</t>
  </si>
  <si>
    <t>AUpdata_ta_ca_80_500_4_50_4</t>
  </si>
  <si>
    <t>AUpdata_ta_ca_80_500_4_50_5</t>
  </si>
  <si>
    <t>AUpdata_ta_ca_80_500_5_100_1</t>
  </si>
  <si>
    <t>AUpdata_ta_ca_80_500_5_100_2</t>
  </si>
  <si>
    <t>AUpdata_ta_ca_80_500_5_100_3</t>
  </si>
  <si>
    <t>AUpdata_ta_ca_80_500_5_100_4</t>
  </si>
  <si>
    <t>AUpdata_ta_ca_80_500_5_100_5</t>
  </si>
  <si>
    <t>AUpdata_ta_ca_80_500_5_50_1</t>
  </si>
  <si>
    <t>AUpdata_ta_ca_80_500_5_50_2</t>
  </si>
  <si>
    <t>AUpdata_ta_ca_80_500_5_50_3</t>
  </si>
  <si>
    <t>AUpdata_ta_ca_80_500_5_50_4</t>
  </si>
  <si>
    <t>AUpdata_ta_ca_80_500_5_50_5</t>
  </si>
  <si>
    <t>n=100</t>
  </si>
  <si>
    <t>greedy</t>
  </si>
  <si>
    <t>AUpdata_corrSergio_100_2475_10_100_1</t>
  </si>
  <si>
    <t>AUpdata_corrSergio_100_2475_10_100_2</t>
  </si>
  <si>
    <t>AUpdata_corrSergio_100_2475_10_100_3</t>
  </si>
  <si>
    <t>AUpdata_corrSergio_100_2475_2_100_1</t>
  </si>
  <si>
    <t>AUpdata_corrSergio_100_2475_2_100_2</t>
  </si>
  <si>
    <t>AUpdata_corrSergio_100_2475_2_100_3</t>
  </si>
  <si>
    <t>AUpdata_corrSergio_100_2475_3_100_1</t>
  </si>
  <si>
    <t>AUpdata_corrSergio_100_2475_3_100_2</t>
  </si>
  <si>
    <t>AUpdata_corrSergio_100_2475_3_100_3</t>
  </si>
  <si>
    <t>AUpdata_corrSergio_100_2475_4_100_1</t>
  </si>
  <si>
    <t>AUpdata_corrSergio_100_2475_4_100_2</t>
  </si>
  <si>
    <t>AUpdata_corrSergio_100_2475_4_100_3</t>
  </si>
  <si>
    <t>AUpdata_corrSergio_100_2475_5_100_1</t>
  </si>
  <si>
    <t>AUpdata_corrSergio_100_2475_5_100_2</t>
  </si>
  <si>
    <t>AUpdata_corrSergio_100_2475_5_100_3</t>
  </si>
  <si>
    <t>AUpdata_corrSergio_100_4950_10_100_1</t>
  </si>
  <si>
    <t>AUpdata_corrSergio_100_4950_10_100_2</t>
  </si>
  <si>
    <t>AUpdata_corrSergio_100_4950_10_100_3</t>
  </si>
  <si>
    <t>AUpdata_corrSergio_100_4950_2_100_1</t>
  </si>
  <si>
    <t>AUpdata_corrSergio_100_4950_2_100_2</t>
  </si>
  <si>
    <t>AUpdata_corrSergio_100_4950_2_100_3</t>
  </si>
  <si>
    <t>AUpdata_corrSergio_100_4950_3_100_1</t>
  </si>
  <si>
    <t>AUpdata_corrSergio_100_4950_3_100_2</t>
  </si>
  <si>
    <t>AUpdata_corrSergio_100_4950_3_100_3</t>
  </si>
  <si>
    <t>AUpdata_corrSergio_100_4950_4_100_1</t>
  </si>
  <si>
    <t>AUpdata_corrSergio_100_4950_4_100_2</t>
  </si>
  <si>
    <t>AUpdata_corrSergio_100_4950_4_100_3</t>
  </si>
  <si>
    <t>AUpdata_corrSergio_100_4950_5_100_1</t>
  </si>
  <si>
    <t>AUpdata_corrSergio_100_4950_5_100_2</t>
  </si>
  <si>
    <t>AUpdata_corrSergio_100_4950_5_100_3</t>
  </si>
  <si>
    <t>AUpdata_corrSergio_100_7425_10_100_1</t>
  </si>
  <si>
    <t>AUpdata_corrSergio_100_7425_10_100_2</t>
  </si>
  <si>
    <t>AUpdata_corrSergio_100_7425_10_100_3</t>
  </si>
  <si>
    <t>AUpdata_corrSergio_100_7425_2_100_1</t>
  </si>
  <si>
    <t>AUpdata_corrSergio_100_7425_2_100_2</t>
  </si>
  <si>
    <t>AUpdata_corrSergio_100_7425_2_100_3</t>
  </si>
  <si>
    <t>AUpdata_corrSergio_100_7425_3_100_1</t>
  </si>
  <si>
    <t>AUpdata_corrSergio_100_7425_3_100_2</t>
  </si>
  <si>
    <t>AUpdata_corrSergio_100_7425_3_100_3</t>
  </si>
  <si>
    <t>AUpdata_corrSergio_100_7425_4_100_1</t>
  </si>
  <si>
    <t>AUpdata_corrSergio_100_7425_4_100_2</t>
  </si>
  <si>
    <t>AUpdata_corrSergio_100_7425_4_100_3</t>
  </si>
  <si>
    <t>AUpdata_corrSergio_100_7425_5_100_1</t>
  </si>
  <si>
    <t>AUpdata_corrSergio_100_7425_5_100_2</t>
  </si>
  <si>
    <t>AUpdata_corrSergio_100_7425_5_100_3</t>
  </si>
  <si>
    <t>AUpdata_randomSergio_100_2475_10_100_1</t>
  </si>
  <si>
    <t>AUpdata_randomSergio_100_2475_10_100_2</t>
  </si>
  <si>
    <t>AUpdata_randomSergio_100_2475_10_100_3</t>
  </si>
  <si>
    <t>AUpdata_randomSergio_100_2475_2_100_1</t>
  </si>
  <si>
    <t>AUpdata_randomSergio_100_2475_2_100_2</t>
  </si>
  <si>
    <t>AUpdata_randomSergio_100_2475_2_100_3</t>
  </si>
  <si>
    <t>AUpdata_randomSergio_100_2475_3_100_1</t>
  </si>
  <si>
    <t>AUpdata_randomSergio_100_2475_3_100_2</t>
  </si>
  <si>
    <t>AUpdata_randomSergio_100_2475_3_100_3</t>
  </si>
  <si>
    <t>AUpdata_randomSergio_100_2475_4_100_1</t>
  </si>
  <si>
    <t>AUpdata_randomSergio_100_2475_4_100_2</t>
  </si>
  <si>
    <t>AUpdata_randomSergio_100_2475_4_100_3</t>
  </si>
  <si>
    <t>AUpdata_randomSergio_100_2475_5_100_1</t>
  </si>
  <si>
    <t>AUpdata_randomSergio_100_2475_5_100_2</t>
  </si>
  <si>
    <t>AUpdata_randomSergio_100_2475_5_100_3</t>
  </si>
  <si>
    <t>AUpdata_randomSergio_100_4950_10_100_1</t>
  </si>
  <si>
    <t>AUpdata_randomSergio_100_4950_10_100_2</t>
  </si>
  <si>
    <t>AUpdata_randomSergio_100_4950_10_100_3</t>
  </si>
  <si>
    <t>AUpdata_randomSergio_100_4950_2_100_1</t>
  </si>
  <si>
    <t>AUpdata_randomSergio_100_4950_2_100_2</t>
  </si>
  <si>
    <t>AUpdata_randomSergio_100_4950_2_100_3</t>
  </si>
  <si>
    <t>AUpdata_randomSergio_100_4950_3_100_1</t>
  </si>
  <si>
    <t>AUpdata_randomSergio_100_4950_3_100_2</t>
  </si>
  <si>
    <t>AUpdata_randomSergio_100_4950_3_100_3</t>
  </si>
  <si>
    <t>AUpdata_randomSergio_100_4950_4_100_1</t>
  </si>
  <si>
    <t>AUpdata_randomSergio_100_4950_4_100_2</t>
  </si>
  <si>
    <t>AUpdata_randomSergio_100_4950_4_100_3</t>
  </si>
  <si>
    <t>AUpdata_randomSergio_100_4950_5_100_1</t>
  </si>
  <si>
    <t>AUpdata_randomSergio_100_4950_5_100_2</t>
  </si>
  <si>
    <t>AUpdata_randomSergio_100_4950_5_100_3</t>
  </si>
  <si>
    <t>AUpdata_randomSergio_100_7425_10_100_1</t>
  </si>
  <si>
    <t>AUpdata_randomSergio_100_7425_10_100_2</t>
  </si>
  <si>
    <t>AUpdata_randomSergio_100_7425_10_100_3</t>
  </si>
  <si>
    <t>AUpdata_randomSergio_100_7425_2_100_1</t>
  </si>
  <si>
    <t>AUpdata_randomSergio_100_7425_2_100_2</t>
  </si>
  <si>
    <t>AUpdata_randomSergio_100_7425_2_100_3</t>
  </si>
  <si>
    <t>AUpdata_randomSergio_100_7425_3_100_1</t>
  </si>
  <si>
    <t>AUpdata_randomSergio_100_7425_3_100_2</t>
  </si>
  <si>
    <t>AUpdata_randomSergio_100_7425_3_100_3</t>
  </si>
  <si>
    <t>AUpdata_randomSergio_100_7425_4_100_1</t>
  </si>
  <si>
    <t>AUpdata_randomSergio_100_7425_4_100_2</t>
  </si>
  <si>
    <t>AUpdata_randomSergio_100_7425_4_100_3</t>
  </si>
  <si>
    <t>AUpdata_randomSergio_100_7425_5_100_1</t>
  </si>
  <si>
    <t>AUpdata_randomSergio_100_7425_5_100_2</t>
  </si>
  <si>
    <t>AUpdata_randomSergio_100_7425_5_100_3</t>
  </si>
  <si>
    <t>(en blanco)</t>
  </si>
  <si>
    <t>AUpdata_corrSergio_200_19900_10_100_1</t>
  </si>
  <si>
    <t>AUpdata_corrSergio_200_19900_10_100_2</t>
  </si>
  <si>
    <t>AUpdata_corrSergio_200_19900_10_100_3</t>
  </si>
  <si>
    <t>AUpdata_corrSergio_200_19900_2_100_1</t>
  </si>
  <si>
    <t>AUpdata_corrSergio_200_19900_2_100_2</t>
  </si>
  <si>
    <t>AUpdata_corrSergio_200_19900_2_100_3</t>
  </si>
  <si>
    <t>AUpdata_corrSergio_200_19900_3_100_1</t>
  </si>
  <si>
    <t>AUpdata_corrSergio_200_19900_3_100_2</t>
  </si>
  <si>
    <t>AUpdata_corrSergio_200_19900_3_100_3</t>
  </si>
  <si>
    <t>AUpdata_corrSergio_200_19900_4_100_1</t>
  </si>
  <si>
    <t>AUpdata_corrSergio_200_19900_4_100_2</t>
  </si>
  <si>
    <t>AUpdata_corrSergio_200_19900_4_100_3</t>
  </si>
  <si>
    <t>AUpdata_corrSergio_200_19900_5_100_1</t>
  </si>
  <si>
    <t>AUpdata_corrSergio_200_19900_5_100_2</t>
  </si>
  <si>
    <t>AUpdata_corrSergio_200_19900_5_100_3</t>
  </si>
  <si>
    <t>AUpdata_corrSergio_200_29850_10_100_1</t>
  </si>
  <si>
    <t>AUpdata_corrSergio_200_29850_10_100_2</t>
  </si>
  <si>
    <t>AUpdata_corrSergio_200_29850_10_100_3</t>
  </si>
  <si>
    <t>AUpdata_corrSergio_200_29850_2_100_1</t>
  </si>
  <si>
    <t>AUpdata_corrSergio_200_29850_2_100_2</t>
  </si>
  <si>
    <t>AUpdata_corrSergio_200_29850_2_100_3</t>
  </si>
  <si>
    <t>AUpdata_corrSergio_200_29850_3_100_1</t>
  </si>
  <si>
    <t>AUpdata_corrSergio_200_29850_3_100_2</t>
  </si>
  <si>
    <t>AUpdata_corrSergio_200_29850_3_100_3</t>
  </si>
  <si>
    <t>AUpdata_corrSergio_200_29850_4_100_1</t>
  </si>
  <si>
    <t>AUpdata_corrSergio_200_29850_4_100_2</t>
  </si>
  <si>
    <t>AUpdata_corrSergio_200_29850_4_100_3</t>
  </si>
  <si>
    <t>AUpdata_corrSergio_200_29850_5_100_1</t>
  </si>
  <si>
    <t>AUpdata_corrSergio_200_29850_5_100_2</t>
  </si>
  <si>
    <t>AUpdata_corrSergio_200_29850_5_100_3</t>
  </si>
  <si>
    <t>AUpdata_corrSergio_200_9950_10_100_1</t>
  </si>
  <si>
    <t>AUpdata_corrSergio_200_9950_10_100_2</t>
  </si>
  <si>
    <t>AUpdata_corrSergio_200_9950_10_100_3</t>
  </si>
  <si>
    <t>AUpdata_corrSergio_200_9950_2_100_1</t>
  </si>
  <si>
    <t>AUpdata_corrSergio_200_9950_2_100_2</t>
  </si>
  <si>
    <t>AUpdata_corrSergio_200_9950_2_100_3</t>
  </si>
  <si>
    <t>AUpdata_corrSergio_200_9950_3_100_1</t>
  </si>
  <si>
    <t>AUpdata_corrSergio_200_9950_3_100_2</t>
  </si>
  <si>
    <t>AUpdata_corrSergio_200_9950_3_100_3</t>
  </si>
  <si>
    <t>AUpdata_corrSergio_200_9950_4_100_1</t>
  </si>
  <si>
    <t>AUpdata_corrSergio_200_9950_4_100_2</t>
  </si>
  <si>
    <t>AUpdata_corrSergio_200_9950_4_100_3</t>
  </si>
  <si>
    <t>AUpdata_corrSergio_200_9950_5_100_1</t>
  </si>
  <si>
    <t>AUpdata_corrSergio_200_9950_5_100_2</t>
  </si>
  <si>
    <t>AUpdata_corrSergio_200_9950_5_100_3</t>
  </si>
  <si>
    <t>BEST</t>
  </si>
  <si>
    <t>AUpdata_randomSergio_200_9950_2_100_1.txt</t>
  </si>
  <si>
    <t>AUpdata_randomSergio_200_9950_2_100_2.txt</t>
  </si>
  <si>
    <t>AUpdata_randomSergio_200_9950_2_100_3.txt</t>
  </si>
  <si>
    <t>AUpdata_randomSergio_200_9950_3_100_1.txt</t>
  </si>
  <si>
    <t>AUpdata_randomSergio_200_9950_3_100_2.txt</t>
  </si>
  <si>
    <t>AUpdata_randomSergio_200_9950_3_100_3.txt</t>
  </si>
  <si>
    <t>AUpdata_randomSergio_200_9950_4_100_1.txt</t>
  </si>
  <si>
    <t>AUpdata_randomSergio_200_9950_4_100_2.txt</t>
  </si>
  <si>
    <t>AUpdata_randomSergio_200_9950_4_100_3.txt</t>
  </si>
  <si>
    <t>AUpdata_randomSergio_200_9950_5_100_1.txt</t>
  </si>
  <si>
    <t>AUpdata_randomSergio_200_9950_5_100_2.txt</t>
  </si>
  <si>
    <t>AUpdata_randomSergio_200_9950_5_100_3.txt</t>
  </si>
  <si>
    <t>AUpdata_randomSergio_200_9950_10_100_1.txt</t>
  </si>
  <si>
    <t>AUpdata_randomSergio_200_9950_10_100_2.txt</t>
  </si>
  <si>
    <t>AUpdata_randomSergio_200_9950_10_100_3.txt</t>
  </si>
  <si>
    <t>AUpdata_randomSergio_200_19900_2_100_1.txt</t>
  </si>
  <si>
    <t>AUpdata_randomSergio_200_19900_2_100_2.txt</t>
  </si>
  <si>
    <t>AUpdata_randomSergio_200_19900_2_100_3.txt</t>
  </si>
  <si>
    <t>AUpdata_randomSergio_200_19900_3_100_1.txt</t>
  </si>
  <si>
    <t>AUpdata_randomSergio_200_19900_3_100_2.txt</t>
  </si>
  <si>
    <t>AUpdata_randomSergio_200_19900_3_100_3.txt</t>
  </si>
  <si>
    <t>AUpdata_randomSergio_200_19900_4_100_1.txt</t>
  </si>
  <si>
    <t>AUpdata_randomSergio_200_19900_4_100_2.txt</t>
  </si>
  <si>
    <t>AUpdata_randomSergio_200_19900_4_100_3.txt</t>
  </si>
  <si>
    <t>AUpdata_randomSergio_200_19900_5_100_1.txt</t>
  </si>
  <si>
    <t>AUpdata_randomSergio_200_19900_5_100_2.txt</t>
  </si>
  <si>
    <t>AUpdata_randomSergio_200_19900_5_100_3.txt</t>
  </si>
  <si>
    <t>AUpdata_randomSergio_200_19900_10_100_1.txt</t>
  </si>
  <si>
    <t>AUpdata_randomSergio_200_19900_10_100_2.txt</t>
  </si>
  <si>
    <t>AUpdata_randomSergio_200_19900_10_100_3.txt</t>
  </si>
  <si>
    <t>AUpdata_randomSergio_200_29850_2_100_1.txt</t>
  </si>
  <si>
    <t>AUpdata_randomSergio_200_29850_2_100_2.txt</t>
  </si>
  <si>
    <t>AUpdata_randomSergio_200_29850_2_100_3.txt</t>
  </si>
  <si>
    <t>AUpdata_randomSergio_200_29850_3_100_1.txt</t>
  </si>
  <si>
    <t>AUpdata_randomSergio_200_29850_3_100_2.txt</t>
  </si>
  <si>
    <t>AUpdata_randomSergio_200_29850_3_100_3.txt</t>
  </si>
  <si>
    <t>AUpdata_randomSergio_200_29850_4_100_1.txt</t>
  </si>
  <si>
    <t>AUpdata_randomSergio_200_29850_4_100_2.txt</t>
  </si>
  <si>
    <t>AUpdata_randomSergio_200_29850_4_100_3.txt</t>
  </si>
  <si>
    <t>AUpdata_randomSergio_200_29850_5_100_1.txt</t>
  </si>
  <si>
    <t>AUpdata_randomSergio_200_29850_5_100_2.txt</t>
  </si>
  <si>
    <t>AUpdata_randomSergio_200_29850_5_100_3.txt</t>
  </si>
  <si>
    <t>AUpdata_randomSergio_200_29850_10_100_1.txt</t>
  </si>
  <si>
    <t>AUpdata_randomSergio_200_29850_10_100_2.txt</t>
  </si>
  <si>
    <t>AUpdata_randomSergio_200_29850_10_100_3.txt</t>
  </si>
  <si>
    <t>gap-GUROBI</t>
  </si>
  <si>
    <t>AUpdata_randomSergio_500_124750_10_100_1.txt</t>
  </si>
  <si>
    <t>AUpdata_randomSergio_500_124750_10_100_2.txt</t>
  </si>
  <si>
    <t>AUpdata_randomSergio_500_124750_10_100_3.txt</t>
  </si>
  <si>
    <t>AUpdata_randomSergio_500_124750_2_100_1.txt</t>
  </si>
  <si>
    <t>AUpdata_randomSergio_500_124750_2_100_2.txt</t>
  </si>
  <si>
    <t>AUpdata_randomSergio_500_124750_2_100_3.txt</t>
  </si>
  <si>
    <t>AUpdata_randomSergio_500_124750_3_100_1.txt</t>
  </si>
  <si>
    <t>AUpdata_randomSergio_500_124750_3_100_2.txt</t>
  </si>
  <si>
    <t>AUpdata_randomSergio_500_124750_3_100_3.txt</t>
  </si>
  <si>
    <t>AUpdata_randomSergio_500_124750_4_100_1.txt</t>
  </si>
  <si>
    <t>AUpdata_randomSergio_500_124750_4_100_2.txt</t>
  </si>
  <si>
    <t>AUpdata_randomSergio_500_124750_4_100_3.txt</t>
  </si>
  <si>
    <t>AUpdata_randomSergio_500_124750_5_100_1.txt</t>
  </si>
  <si>
    <t>AUpdata_randomSergio_500_124750_5_100_2.txt</t>
  </si>
  <si>
    <t>AUpdata_randomSergio_500_124750_5_100_3.txt</t>
  </si>
  <si>
    <t>AUpdata_randomSergio_500_187125_10_100_1.txt</t>
  </si>
  <si>
    <t>AUpdata_randomSergio_500_187125_10_100_2.txt</t>
  </si>
  <si>
    <t>AUpdata_randomSergio_500_187125_10_100_3.txt</t>
  </si>
  <si>
    <t>AUpdata_randomSergio_500_187125_2_100_1.txt</t>
  </si>
  <si>
    <t>AUpdata_randomSergio_500_187125_2_100_2.txt</t>
  </si>
  <si>
    <t>AUpdata_randomSergio_500_187125_2_100_3.txt</t>
  </si>
  <si>
    <t>AUpdata_randomSergio_500_187125_3_100_1.txt</t>
  </si>
  <si>
    <t>AUpdata_randomSergio_500_187125_3_100_2.txt</t>
  </si>
  <si>
    <t>AUpdata_randomSergio_500_187125_3_100_3.txt</t>
  </si>
  <si>
    <t>AUpdata_randomSergio_500_187125_4_100_1.txt</t>
  </si>
  <si>
    <t>AUpdata_randomSergio_500_187125_4_100_2.txt</t>
  </si>
  <si>
    <t>AUpdata_randomSergio_500_187125_4_100_3.txt</t>
  </si>
  <si>
    <t>AUpdata_randomSergio_500_187125_5_100_1.txt</t>
  </si>
  <si>
    <t>AUpdata_randomSergio_500_187125_5_100_2.txt</t>
  </si>
  <si>
    <t>AUpdata_randomSergio_500_187125_5_100_3.txt</t>
  </si>
  <si>
    <t>AUpdata_randomSergio_500_62375_10_100_1.txt</t>
  </si>
  <si>
    <t>AUpdata_randomSergio_500_62375_10_100_2.txt</t>
  </si>
  <si>
    <t>AUpdata_randomSergio_500_62375_10_100_3.txt</t>
  </si>
  <si>
    <t>AUpdata_randomSergio_500_62375_2_100_1.txt</t>
  </si>
  <si>
    <t>AUpdata_randomSergio_500_62375_2_100_2.txt</t>
  </si>
  <si>
    <t>AUpdata_randomSergio_500_62375_2_100_3.txt</t>
  </si>
  <si>
    <t>AUpdata_randomSergio_500_62375_3_100_1.txt</t>
  </si>
  <si>
    <t>AUpdata_randomSergio_500_62375_3_100_2.txt</t>
  </si>
  <si>
    <t>AUpdata_randomSergio_500_62375_3_100_3.txt</t>
  </si>
  <si>
    <t>AUpdata_randomSergio_500_62375_4_100_1.txt</t>
  </si>
  <si>
    <t>AUpdata_randomSergio_500_62375_4_100_2.txt</t>
  </si>
  <si>
    <t>AUpdata_randomSergio_500_62375_4_100_3.txt</t>
  </si>
  <si>
    <t>AUpdata_randomSergio_500_62375_5_100_1.txt</t>
  </si>
  <si>
    <t>AUpdata_randomSergio_500_62375_5_100_2.txt</t>
  </si>
  <si>
    <t>AUpdata_randomSergio_500_62375_5_100_3.txt</t>
  </si>
  <si>
    <t>AUpdata_corrSergio_500_124750_10_100_1.txt</t>
  </si>
  <si>
    <t>AUpdata_corrSergio_500_124750_10_100_2.txt</t>
  </si>
  <si>
    <t>AUpdata_corrSergio_500_124750_10_100_3.txt</t>
  </si>
  <si>
    <t>AUpdata_corrSergio_500_124750_2_100_1.txt</t>
  </si>
  <si>
    <t>AUpdata_corrSergio_500_124750_2_100_2.txt</t>
  </si>
  <si>
    <t>AUpdata_corrSergio_500_124750_2_100_3.txt</t>
  </si>
  <si>
    <t>AUpdata_corrSergio_500_124750_3_100_1.txt</t>
  </si>
  <si>
    <t>AUpdata_corrSergio_500_124750_3_100_2.txt</t>
  </si>
  <si>
    <t>AUpdata_corrSergio_500_124750_3_100_3.txt</t>
  </si>
  <si>
    <t>AUpdata_corrSergio_500_124750_4_100_1.txt</t>
  </si>
  <si>
    <t>AUpdata_corrSergio_500_124750_4_100_2.txt</t>
  </si>
  <si>
    <t>AUpdata_corrSergio_500_124750_4_100_3.txt</t>
  </si>
  <si>
    <t>AUpdata_corrSergio_500_124750_5_100_1.txt</t>
  </si>
  <si>
    <t>AUpdata_corrSergio_500_124750_5_100_2.txt</t>
  </si>
  <si>
    <t>AUpdata_corrSergio_500_124750_5_100_3.txt</t>
  </si>
  <si>
    <t>AUpdata_corrSergio_500_187125_10_100_1.txt</t>
  </si>
  <si>
    <t>AUpdata_corrSergio_500_187125_10_100_2.txt</t>
  </si>
  <si>
    <t>AUpdata_corrSergio_500_187125_10_100_3.txt</t>
  </si>
  <si>
    <t>AUpdata_corrSergio_500_187125_2_100_1.txt</t>
  </si>
  <si>
    <t>AUpdata_corrSergio_500_187125_2_100_2.txt</t>
  </si>
  <si>
    <t>AUpdata_corrSergio_500_187125_2_100_3.txt</t>
  </si>
  <si>
    <t>AUpdata_corrSergio_500_187125_3_100_1.txt</t>
  </si>
  <si>
    <t>AUpdata_corrSergio_500_187125_3_100_2.txt</t>
  </si>
  <si>
    <t>AUpdata_corrSergio_500_187125_3_100_3.txt</t>
  </si>
  <si>
    <t>AUpdata_corrSergio_500_187125_4_100_1.txt</t>
  </si>
  <si>
    <t>AUpdata_corrSergio_500_187125_4_100_2.txt</t>
  </si>
  <si>
    <t>AUpdata_corrSergio_500_187125_4_100_3.txt</t>
  </si>
  <si>
    <t>AUpdata_corrSergio_500_187125_5_100_1.txt</t>
  </si>
  <si>
    <t>AUpdata_corrSergio_500_187125_5_100_2.txt</t>
  </si>
  <si>
    <t>AUpdata_corrSergio_500_187125_5_100_3.txt</t>
  </si>
  <si>
    <t>AUpdata_corrSergio_500_62375_10_100_1.txt</t>
  </si>
  <si>
    <t>AUpdata_corrSergio_500_62375_10_100_2.txt</t>
  </si>
  <si>
    <t>AUpdata_corrSergio_500_62375_10_100_3.txt</t>
  </si>
  <si>
    <t>AUpdata_corrSergio_500_62375_2_100_1.txt</t>
  </si>
  <si>
    <t>AUpdata_corrSergio_500_62375_2_100_2.txt</t>
  </si>
  <si>
    <t>AUpdata_corrSergio_500_62375_2_100_3.txt</t>
  </si>
  <si>
    <t>AUpdata_corrSergio_500_62375_3_100_1.txt</t>
  </si>
  <si>
    <t>AUpdata_corrSergio_500_62375_3_100_2.txt</t>
  </si>
  <si>
    <t>AUpdata_corrSergio_500_62375_3_100_3.txt</t>
  </si>
  <si>
    <t>AUpdata_corrSergio_500_62375_4_100_1.txt</t>
  </si>
  <si>
    <t>AUpdata_corrSergio_500_62375_4_100_2.txt</t>
  </si>
  <si>
    <t>AUpdata_corrSergio_500_62375_4_100_3.txt</t>
  </si>
  <si>
    <t>AUpdata_corrSergio_500_62375_5_100_1.txt</t>
  </si>
  <si>
    <t>AUpdata_corrSergio_500_62375_5_100_2.txt</t>
  </si>
  <si>
    <t>AUpdata_corrSergio_500_62375_5_100_3.txt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</si>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</sst>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3" xfId="0" applyFill="1" applyBorder="1"/>
    <xf numFmtId="0" fontId="0" fillId="2" borderId="5" xfId="0" applyFill="1" applyBorder="1"/>
    <xf numFmtId="0" fontId="0" fillId="3" borderId="6" xfId="0" applyFill="1" applyBorder="1"/>
    <xf numFmtId="2" fontId="0" fillId="3" borderId="7" xfId="0" applyNumberFormat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6" xfId="0" applyFill="1" applyBorder="1"/>
    <xf numFmtId="164" fontId="0" fillId="7" borderId="2" xfId="0" applyNumberFormat="1" applyFill="1" applyBorder="1"/>
    <xf numFmtId="2" fontId="0" fillId="7" borderId="3" xfId="0" applyNumberFormat="1" applyFill="1" applyBorder="1"/>
    <xf numFmtId="164" fontId="0" fillId="8" borderId="0" xfId="0" applyNumberFormat="1" applyFill="1"/>
    <xf numFmtId="2" fontId="0" fillId="8" borderId="0" xfId="0" applyNumberFormat="1" applyFill="1"/>
    <xf numFmtId="165" fontId="0" fillId="8" borderId="0" xfId="1" applyNumberFormat="1" applyFont="1" applyFill="1" applyBorder="1"/>
    <xf numFmtId="0" fontId="0" fillId="8" borderId="7" xfId="0" applyFill="1" applyBorder="1"/>
    <xf numFmtId="164" fontId="0" fillId="9" borderId="0" xfId="0" applyNumberFormat="1" applyFill="1"/>
    <xf numFmtId="2" fontId="0" fillId="9" borderId="0" xfId="0" applyNumberFormat="1" applyFill="1"/>
    <xf numFmtId="165" fontId="0" fillId="9" borderId="0" xfId="1" applyNumberFormat="1" applyFont="1" applyFill="1" applyBorder="1"/>
    <xf numFmtId="0" fontId="0" fillId="9" borderId="7" xfId="0" applyFill="1" applyBorder="1"/>
    <xf numFmtId="164" fontId="0" fillId="7" borderId="6" xfId="0" applyNumberFormat="1" applyFill="1" applyBorder="1"/>
    <xf numFmtId="2" fontId="0" fillId="7" borderId="7" xfId="0" applyNumberFormat="1" applyFill="1" applyBorder="1"/>
    <xf numFmtId="0" fontId="0" fillId="6" borderId="8" xfId="0" applyFill="1" applyBorder="1"/>
    <xf numFmtId="164" fontId="0" fillId="3" borderId="11" xfId="0" applyNumberFormat="1" applyFill="1" applyBorder="1"/>
    <xf numFmtId="2" fontId="0" fillId="10" borderId="12" xfId="0" applyNumberFormat="1" applyFill="1" applyBorder="1"/>
    <xf numFmtId="164" fontId="0" fillId="4" borderId="13" xfId="0" applyNumberFormat="1" applyFill="1" applyBorder="1"/>
    <xf numFmtId="10" fontId="0" fillId="4" borderId="13" xfId="0" applyNumberFormat="1" applyFill="1" applyBorder="1"/>
    <xf numFmtId="0" fontId="0" fillId="4" borderId="12" xfId="0" applyFill="1" applyBorder="1"/>
    <xf numFmtId="164" fontId="0" fillId="5" borderId="13" xfId="0" applyNumberFormat="1" applyFill="1" applyBorder="1"/>
    <xf numFmtId="10" fontId="0" fillId="5" borderId="13" xfId="0" applyNumberFormat="1" applyFill="1" applyBorder="1"/>
    <xf numFmtId="0" fontId="0" fillId="5" borderId="12" xfId="0" applyFill="1" applyBorder="1"/>
    <xf numFmtId="0" fontId="0" fillId="3" borderId="8" xfId="0" applyFill="1" applyBorder="1"/>
    <xf numFmtId="2" fontId="0" fillId="3" borderId="10" xfId="0" applyNumberFormat="1" applyFill="1" applyBorder="1"/>
    <xf numFmtId="0" fontId="0" fillId="6" borderId="14" xfId="0" applyFill="1" applyBorder="1"/>
    <xf numFmtId="0" fontId="0" fillId="6" borderId="5" xfId="0" applyFill="1" applyBorder="1"/>
    <xf numFmtId="164" fontId="0" fillId="7" borderId="8" xfId="0" applyNumberFormat="1" applyFill="1" applyBorder="1"/>
    <xf numFmtId="2" fontId="0" fillId="7" borderId="10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164" fontId="0" fillId="0" borderId="0" xfId="0" applyNumberFormat="1"/>
    <xf numFmtId="164" fontId="0" fillId="11" borderId="6" xfId="0" applyNumberFormat="1" applyFill="1" applyBorder="1"/>
    <xf numFmtId="2" fontId="0" fillId="11" borderId="7" xfId="0" applyNumberFormat="1" applyFill="1" applyBorder="1"/>
    <xf numFmtId="0" fontId="0" fillId="6" borderId="1" xfId="0" applyFill="1" applyBorder="1"/>
    <xf numFmtId="166" fontId="0" fillId="4" borderId="13" xfId="0" applyNumberFormat="1" applyFill="1" applyBorder="1"/>
    <xf numFmtId="166" fontId="0" fillId="5" borderId="13" xfId="0" applyNumberFormat="1" applyFill="1" applyBorder="1"/>
    <xf numFmtId="0" fontId="0" fillId="2" borderId="2" xfId="0" applyFill="1" applyBorder="1"/>
    <xf numFmtId="0" fontId="0" fillId="2" borderId="8" xfId="0" applyFill="1" applyBorder="1"/>
    <xf numFmtId="164" fontId="0" fillId="8" borderId="6" xfId="0" applyNumberFormat="1" applyFill="1" applyBorder="1"/>
    <xf numFmtId="164" fontId="0" fillId="4" borderId="11" xfId="0" applyNumberFormat="1" applyFill="1" applyBorder="1"/>
    <xf numFmtId="164" fontId="0" fillId="6" borderId="6" xfId="0" applyNumberFormat="1" applyFill="1" applyBorder="1"/>
    <xf numFmtId="0" fontId="0" fillId="3" borderId="1" xfId="0" applyFill="1" applyBorder="1"/>
    <xf numFmtId="0" fontId="0" fillId="3" borderId="5" xfId="0" applyFill="1" applyBorder="1"/>
    <xf numFmtId="10" fontId="0" fillId="7" borderId="14" xfId="1" applyNumberFormat="1" applyFont="1" applyFill="1" applyBorder="1"/>
    <xf numFmtId="10" fontId="0" fillId="3" borderId="15" xfId="1" applyNumberFormat="1" applyFont="1" applyFill="1" applyBorder="1"/>
    <xf numFmtId="164" fontId="0" fillId="6" borderId="1" xfId="0" applyNumberFormat="1" applyFill="1" applyBorder="1"/>
    <xf numFmtId="164" fontId="0" fillId="6" borderId="14" xfId="0" applyNumberFormat="1" applyFill="1" applyBorder="1"/>
    <xf numFmtId="164" fontId="0" fillId="6" borderId="5" xfId="0" applyNumberFormat="1" applyFill="1" applyBorder="1"/>
    <xf numFmtId="164" fontId="0" fillId="2" borderId="15" xfId="0" applyNumberFormat="1" applyFill="1" applyBorder="1"/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1"/>
  <sheetViews>
    <sheetView tabSelected="1" topLeftCell="A192" workbookViewId="0">
      <selection activeCell="M234" sqref="M234"/>
    </sheetView>
  </sheetViews>
  <sheetFormatPr baseColWidth="10" defaultColWidth="9.140625" defaultRowHeight="15" x14ac:dyDescent="0.25"/>
  <cols>
    <col min="2" max="2" width="29.7109375" bestFit="1" customWidth="1"/>
    <col min="3" max="3" width="9.5703125" bestFit="1" customWidth="1"/>
    <col min="5" max="5" width="9.5703125" bestFit="1" customWidth="1"/>
    <col min="9" max="9" width="9.7109375" bestFit="1" customWidth="1"/>
  </cols>
  <sheetData>
    <row r="2" spans="2:12" ht="15.75" thickBot="1" x14ac:dyDescent="0.3"/>
    <row r="3" spans="2:12" x14ac:dyDescent="0.25">
      <c r="B3" s="1" t="s">
        <v>0</v>
      </c>
      <c r="C3" s="2" t="s">
        <v>125</v>
      </c>
      <c r="D3" s="3"/>
      <c r="E3" s="4" t="s">
        <v>126</v>
      </c>
      <c r="F3" s="5"/>
      <c r="G3" s="5"/>
      <c r="H3" s="6"/>
      <c r="I3" s="7" t="s">
        <v>247</v>
      </c>
      <c r="J3" s="8"/>
      <c r="K3" s="8"/>
      <c r="L3" s="9"/>
    </row>
    <row r="4" spans="2:12" ht="15.75" thickBot="1" x14ac:dyDescent="0.3">
      <c r="B4" s="10"/>
      <c r="C4" s="11" t="s">
        <v>1</v>
      </c>
      <c r="D4" s="12" t="s">
        <v>2</v>
      </c>
      <c r="E4" s="13" t="s">
        <v>1</v>
      </c>
      <c r="F4" s="14" t="s">
        <v>2</v>
      </c>
      <c r="G4" s="14" t="s">
        <v>3</v>
      </c>
      <c r="H4" s="15" t="s">
        <v>4</v>
      </c>
      <c r="I4" s="16" t="s">
        <v>1</v>
      </c>
      <c r="J4" s="17" t="s">
        <v>2</v>
      </c>
      <c r="K4" s="17" t="s">
        <v>3</v>
      </c>
      <c r="L4" s="18" t="s">
        <v>4</v>
      </c>
    </row>
    <row r="5" spans="2:12" x14ac:dyDescent="0.25">
      <c r="B5" s="19" t="s">
        <v>5</v>
      </c>
      <c r="C5" s="20">
        <v>9613.7393110970006</v>
      </c>
      <c r="D5" s="21">
        <v>0.42501240000000001</v>
      </c>
      <c r="E5" s="22">
        <v>9613.7392999999993</v>
      </c>
      <c r="F5" s="23">
        <v>0.93674456500000003</v>
      </c>
      <c r="G5" s="24">
        <f t="shared" ref="G5:G68" si="0">(E5-C5)/C5</f>
        <v>-1.154285650436588E-9</v>
      </c>
      <c r="H5" s="25">
        <f>IF(G5&lt;0.000001,1,0)</f>
        <v>1</v>
      </c>
      <c r="I5" s="26">
        <v>11024.150100000001</v>
      </c>
      <c r="J5" s="27">
        <v>1.4746871999999999E-2</v>
      </c>
      <c r="K5" s="28">
        <f t="shared" ref="K5:K68" si="1">(I5-C5)/C5</f>
        <v>0.14670782546339523</v>
      </c>
      <c r="L5" s="29">
        <f>IF(K5&lt;0.000001,1,0)</f>
        <v>0</v>
      </c>
    </row>
    <row r="6" spans="2:12" x14ac:dyDescent="0.25">
      <c r="B6" s="19" t="s">
        <v>6</v>
      </c>
      <c r="C6" s="30">
        <v>16299.783237270101</v>
      </c>
      <c r="D6" s="31">
        <v>0.5750208</v>
      </c>
      <c r="E6" s="22">
        <v>16299.7832</v>
      </c>
      <c r="F6" s="23">
        <v>0.72618452099999997</v>
      </c>
      <c r="G6" s="24">
        <f t="shared" si="0"/>
        <v>-2.286539703436675E-9</v>
      </c>
      <c r="H6" s="25">
        <f t="shared" ref="H6:H69" si="2">IF(G6&lt;0.000001,1,0)</f>
        <v>1</v>
      </c>
      <c r="I6" s="26">
        <v>17159.0239</v>
      </c>
      <c r="J6" s="27">
        <v>2.261575E-3</v>
      </c>
      <c r="K6" s="28">
        <f t="shared" si="1"/>
        <v>5.2714852107064274E-2</v>
      </c>
      <c r="L6" s="29">
        <f t="shared" ref="L6:L69" si="3">IF(K6&lt;0.000001,1,0)</f>
        <v>0</v>
      </c>
    </row>
    <row r="7" spans="2:12" x14ac:dyDescent="0.25">
      <c r="B7" s="19" t="s">
        <v>7</v>
      </c>
      <c r="C7" s="30">
        <v>9051.6019418941996</v>
      </c>
      <c r="D7" s="31">
        <v>0.24470610000000001</v>
      </c>
      <c r="E7" s="22">
        <v>9051.6018999999997</v>
      </c>
      <c r="F7" s="23">
        <v>0.77309383200000004</v>
      </c>
      <c r="G7" s="24">
        <f t="shared" si="0"/>
        <v>-4.6283740972983631E-9</v>
      </c>
      <c r="H7" s="25">
        <f t="shared" si="2"/>
        <v>1</v>
      </c>
      <c r="I7" s="26">
        <v>9702.7047999999995</v>
      </c>
      <c r="J7" s="27">
        <v>1.1876009999999999E-3</v>
      </c>
      <c r="K7" s="28">
        <f t="shared" si="1"/>
        <v>7.1932334440410195E-2</v>
      </c>
      <c r="L7" s="29">
        <f t="shared" si="3"/>
        <v>0</v>
      </c>
    </row>
    <row r="8" spans="2:12" x14ac:dyDescent="0.25">
      <c r="B8" s="19" t="s">
        <v>8</v>
      </c>
      <c r="C8" s="30">
        <v>5162.130871638481</v>
      </c>
      <c r="D8" s="31">
        <v>0.25033090000000002</v>
      </c>
      <c r="E8" s="22">
        <v>5162.1309000000001</v>
      </c>
      <c r="F8" s="23">
        <v>0.78567190399999998</v>
      </c>
      <c r="G8" s="24">
        <f t="shared" si="0"/>
        <v>5.4941495627054131E-9</v>
      </c>
      <c r="H8" s="25">
        <f t="shared" si="2"/>
        <v>1</v>
      </c>
      <c r="I8" s="26">
        <v>5816.7372999999998</v>
      </c>
      <c r="J8" s="27">
        <v>2.902174E-3</v>
      </c>
      <c r="K8" s="28">
        <f t="shared" si="1"/>
        <v>0.12680934378437098</v>
      </c>
      <c r="L8" s="29">
        <f t="shared" si="3"/>
        <v>0</v>
      </c>
    </row>
    <row r="9" spans="2:12" x14ac:dyDescent="0.25">
      <c r="B9" s="19" t="s">
        <v>9</v>
      </c>
      <c r="C9" s="30">
        <v>9383.8722093146225</v>
      </c>
      <c r="D9" s="31">
        <v>0.30192540000000001</v>
      </c>
      <c r="E9" s="22">
        <v>9383.8721999999998</v>
      </c>
      <c r="F9" s="23">
        <v>0.84360632999999996</v>
      </c>
      <c r="G9" s="24">
        <f t="shared" si="0"/>
        <v>-9.9262037272532585E-10</v>
      </c>
      <c r="H9" s="25">
        <f t="shared" si="2"/>
        <v>1</v>
      </c>
      <c r="I9" s="26">
        <v>9383.8721999999998</v>
      </c>
      <c r="J9" s="27">
        <v>1.7196830000000001E-3</v>
      </c>
      <c r="K9" s="28">
        <f t="shared" si="1"/>
        <v>-9.9262037272532585E-10</v>
      </c>
      <c r="L9" s="29">
        <f t="shared" si="3"/>
        <v>1</v>
      </c>
    </row>
    <row r="10" spans="2:12" x14ac:dyDescent="0.25">
      <c r="B10" s="19" t="s">
        <v>10</v>
      </c>
      <c r="C10" s="30">
        <v>16457.851028650548</v>
      </c>
      <c r="D10" s="31">
        <v>0.63726369999999999</v>
      </c>
      <c r="E10" s="22">
        <v>16457.850999999999</v>
      </c>
      <c r="F10" s="23">
        <v>0.87441902699999996</v>
      </c>
      <c r="G10" s="24">
        <f t="shared" si="0"/>
        <v>-1.7408438781849687E-9</v>
      </c>
      <c r="H10" s="25">
        <f t="shared" si="2"/>
        <v>1</v>
      </c>
      <c r="I10" s="26">
        <v>16512.044999999998</v>
      </c>
      <c r="J10" s="27">
        <v>1.563699E-3</v>
      </c>
      <c r="K10" s="28">
        <f t="shared" si="1"/>
        <v>3.2928947561323197E-3</v>
      </c>
      <c r="L10" s="29">
        <f t="shared" si="3"/>
        <v>0</v>
      </c>
    </row>
    <row r="11" spans="2:12" x14ac:dyDescent="0.25">
      <c r="B11" s="19" t="s">
        <v>11</v>
      </c>
      <c r="C11" s="30">
        <v>9130.7326971901002</v>
      </c>
      <c r="D11" s="31">
        <v>0.25183250000000001</v>
      </c>
      <c r="E11" s="22">
        <v>9130.7327000000005</v>
      </c>
      <c r="F11" s="23">
        <v>0.89588390299999998</v>
      </c>
      <c r="G11" s="24">
        <f t="shared" si="0"/>
        <v>3.0774093878542901E-10</v>
      </c>
      <c r="H11" s="25">
        <f t="shared" si="2"/>
        <v>1</v>
      </c>
      <c r="I11" s="26">
        <v>9130.7327000000005</v>
      </c>
      <c r="J11" s="27">
        <v>2.5189710000000001E-3</v>
      </c>
      <c r="K11" s="28">
        <f t="shared" si="1"/>
        <v>3.0774093878542901E-10</v>
      </c>
      <c r="L11" s="29">
        <f t="shared" si="3"/>
        <v>1</v>
      </c>
    </row>
    <row r="12" spans="2:12" x14ac:dyDescent="0.25">
      <c r="B12" s="19" t="s">
        <v>12</v>
      </c>
      <c r="C12" s="30">
        <v>5868.2282265908188</v>
      </c>
      <c r="D12" s="31">
        <v>0.31773590000000002</v>
      </c>
      <c r="E12" s="22">
        <v>5868.2281999999996</v>
      </c>
      <c r="F12" s="23">
        <v>0.14422569199999999</v>
      </c>
      <c r="G12" s="24">
        <f t="shared" si="0"/>
        <v>-4.5313198911034074E-9</v>
      </c>
      <c r="H12" s="25">
        <f t="shared" si="2"/>
        <v>1</v>
      </c>
      <c r="I12" s="26">
        <v>5868.2281999999996</v>
      </c>
      <c r="J12" s="27">
        <v>1.81347E-3</v>
      </c>
      <c r="K12" s="28">
        <f t="shared" si="1"/>
        <v>-4.5313198911034074E-9</v>
      </c>
      <c r="L12" s="29">
        <f t="shared" si="3"/>
        <v>1</v>
      </c>
    </row>
    <row r="13" spans="2:12" x14ac:dyDescent="0.25">
      <c r="B13" s="19" t="s">
        <v>13</v>
      </c>
      <c r="C13" s="30">
        <v>8990.3672121577347</v>
      </c>
      <c r="D13" s="31">
        <v>0.31159819999999999</v>
      </c>
      <c r="E13" s="22">
        <v>8990.3672000000006</v>
      </c>
      <c r="F13" s="23">
        <v>0.15930672800000001</v>
      </c>
      <c r="G13" s="24">
        <f t="shared" si="0"/>
        <v>-1.3523067304901357E-9</v>
      </c>
      <c r="H13" s="25">
        <f t="shared" si="2"/>
        <v>1</v>
      </c>
      <c r="I13" s="26">
        <v>9295.2962000000007</v>
      </c>
      <c r="J13" s="27">
        <v>2.1097989999999999E-3</v>
      </c>
      <c r="K13" s="28">
        <f t="shared" si="1"/>
        <v>3.3917300667086037E-2</v>
      </c>
      <c r="L13" s="29">
        <f t="shared" si="3"/>
        <v>0</v>
      </c>
    </row>
    <row r="14" spans="2:12" x14ac:dyDescent="0.25">
      <c r="B14" s="19" t="s">
        <v>14</v>
      </c>
      <c r="C14" s="30">
        <v>7883.4287703637301</v>
      </c>
      <c r="D14" s="31">
        <v>0.20393140000000001</v>
      </c>
      <c r="E14" s="22">
        <v>7883.4287999999997</v>
      </c>
      <c r="F14" s="23">
        <v>0.164758926</v>
      </c>
      <c r="G14" s="24">
        <f t="shared" si="0"/>
        <v>3.7593121517050684E-9</v>
      </c>
      <c r="H14" s="25">
        <f t="shared" si="2"/>
        <v>1</v>
      </c>
      <c r="I14" s="26">
        <v>8600.9236000000001</v>
      </c>
      <c r="J14" s="27">
        <v>1.727297E-3</v>
      </c>
      <c r="K14" s="28">
        <f t="shared" si="1"/>
        <v>9.1013041474232254E-2</v>
      </c>
      <c r="L14" s="29">
        <f t="shared" si="3"/>
        <v>0</v>
      </c>
    </row>
    <row r="15" spans="2:12" x14ac:dyDescent="0.25">
      <c r="B15" s="19" t="s">
        <v>15</v>
      </c>
      <c r="C15" s="30">
        <v>5452.1385611101987</v>
      </c>
      <c r="D15" s="31">
        <v>0.17039470000000001</v>
      </c>
      <c r="E15" s="22">
        <v>5452.1386000000002</v>
      </c>
      <c r="F15" s="23">
        <v>0.176036735</v>
      </c>
      <c r="G15" s="24">
        <f t="shared" si="0"/>
        <v>7.1329444599642298E-9</v>
      </c>
      <c r="H15" s="25">
        <f t="shared" si="2"/>
        <v>1</v>
      </c>
      <c r="I15" s="26">
        <v>6135.5758999999998</v>
      </c>
      <c r="J15" s="27">
        <v>3.0645189999999999E-3</v>
      </c>
      <c r="K15" s="28">
        <f t="shared" si="1"/>
        <v>0.12535215883263159</v>
      </c>
      <c r="L15" s="29">
        <f t="shared" si="3"/>
        <v>0</v>
      </c>
    </row>
    <row r="16" spans="2:12" x14ac:dyDescent="0.25">
      <c r="B16" s="19" t="s">
        <v>16</v>
      </c>
      <c r="C16" s="30">
        <v>9160.1202818422007</v>
      </c>
      <c r="D16" s="31">
        <v>0.3869648</v>
      </c>
      <c r="E16" s="22">
        <v>9160.1203000000005</v>
      </c>
      <c r="F16" s="23">
        <v>0.17497475900000001</v>
      </c>
      <c r="G16" s="24">
        <f t="shared" si="0"/>
        <v>1.9822665235538444E-9</v>
      </c>
      <c r="H16" s="25">
        <f t="shared" si="2"/>
        <v>1</v>
      </c>
      <c r="I16" s="26">
        <v>10121.5501</v>
      </c>
      <c r="J16" s="27">
        <v>3.6696509999999999E-3</v>
      </c>
      <c r="K16" s="28">
        <f t="shared" si="1"/>
        <v>0.10495820890732295</v>
      </c>
      <c r="L16" s="29">
        <f t="shared" si="3"/>
        <v>0</v>
      </c>
    </row>
    <row r="17" spans="2:12" x14ac:dyDescent="0.25">
      <c r="B17" s="19" t="s">
        <v>17</v>
      </c>
      <c r="C17" s="30">
        <v>3969.0064075025007</v>
      </c>
      <c r="D17" s="31">
        <v>0.1976986</v>
      </c>
      <c r="E17" s="22">
        <v>3969.0064000000002</v>
      </c>
      <c r="F17" s="23">
        <v>0.198755288</v>
      </c>
      <c r="G17" s="24">
        <f t="shared" si="0"/>
        <v>-1.8902716942040766E-9</v>
      </c>
      <c r="H17" s="25">
        <f t="shared" si="2"/>
        <v>1</v>
      </c>
      <c r="I17" s="26">
        <v>5011.2520000000004</v>
      </c>
      <c r="J17" s="27">
        <v>5.9263579999999996E-3</v>
      </c>
      <c r="K17" s="28">
        <f t="shared" si="1"/>
        <v>0.26259609723163269</v>
      </c>
      <c r="L17" s="29">
        <f t="shared" si="3"/>
        <v>0</v>
      </c>
    </row>
    <row r="18" spans="2:12" x14ac:dyDescent="0.25">
      <c r="B18" s="19" t="s">
        <v>18</v>
      </c>
      <c r="C18" s="30">
        <v>7205.2086128614001</v>
      </c>
      <c r="D18" s="31">
        <v>0.2216168</v>
      </c>
      <c r="E18" s="22">
        <v>7205.2085999999999</v>
      </c>
      <c r="F18" s="23">
        <v>0.20033225099999999</v>
      </c>
      <c r="G18" s="24">
        <f t="shared" si="0"/>
        <v>-1.7850142623130931E-9</v>
      </c>
      <c r="H18" s="25">
        <f t="shared" si="2"/>
        <v>1</v>
      </c>
      <c r="I18" s="26">
        <v>7356.8140999999996</v>
      </c>
      <c r="J18" s="27">
        <v>5.048131E-3</v>
      </c>
      <c r="K18" s="28">
        <f t="shared" si="1"/>
        <v>2.1041096140919719E-2</v>
      </c>
      <c r="L18" s="29">
        <f t="shared" si="3"/>
        <v>0</v>
      </c>
    </row>
    <row r="19" spans="2:12" x14ac:dyDescent="0.25">
      <c r="B19" s="19" t="s">
        <v>19</v>
      </c>
      <c r="C19" s="30">
        <v>5630.9678250021998</v>
      </c>
      <c r="D19" s="31">
        <v>0.25594889999999998</v>
      </c>
      <c r="E19" s="22">
        <v>5630.9678000000004</v>
      </c>
      <c r="F19" s="23">
        <v>0.20400664600000001</v>
      </c>
      <c r="G19" s="24">
        <f t="shared" si="0"/>
        <v>-4.4401247197893023E-9</v>
      </c>
      <c r="H19" s="25">
        <f t="shared" si="2"/>
        <v>1</v>
      </c>
      <c r="I19" s="26">
        <v>7837.2564000000002</v>
      </c>
      <c r="J19" s="27">
        <v>6.8963269999999998E-3</v>
      </c>
      <c r="K19" s="28">
        <f t="shared" si="1"/>
        <v>0.39181338689267659</v>
      </c>
      <c r="L19" s="29">
        <f t="shared" si="3"/>
        <v>0</v>
      </c>
    </row>
    <row r="20" spans="2:12" x14ac:dyDescent="0.25">
      <c r="B20" s="19" t="s">
        <v>20</v>
      </c>
      <c r="C20" s="30">
        <v>10920.873937770497</v>
      </c>
      <c r="D20" s="31">
        <v>0.23906659999999999</v>
      </c>
      <c r="E20" s="22">
        <v>10920.873900000001</v>
      </c>
      <c r="F20" s="23">
        <v>0.18812556599999999</v>
      </c>
      <c r="G20" s="24">
        <f t="shared" si="0"/>
        <v>-3.4585598766749415E-9</v>
      </c>
      <c r="H20" s="25">
        <f t="shared" si="2"/>
        <v>1</v>
      </c>
      <c r="I20" s="26">
        <v>12960.0247</v>
      </c>
      <c r="J20" s="27">
        <v>7.5507109999999999E-3</v>
      </c>
      <c r="K20" s="28">
        <f t="shared" si="1"/>
        <v>0.18672047437311567</v>
      </c>
      <c r="L20" s="29">
        <f t="shared" si="3"/>
        <v>0</v>
      </c>
    </row>
    <row r="21" spans="2:12" x14ac:dyDescent="0.25">
      <c r="B21" s="19" t="s">
        <v>21</v>
      </c>
      <c r="C21" s="30">
        <v>6308.3816507767006</v>
      </c>
      <c r="D21" s="31">
        <v>0.23170850000000001</v>
      </c>
      <c r="E21" s="22">
        <v>6308.3816999999999</v>
      </c>
      <c r="F21" s="23">
        <v>0.171344304</v>
      </c>
      <c r="G21" s="24">
        <f t="shared" si="0"/>
        <v>7.8028410583665665E-9</v>
      </c>
      <c r="H21" s="25">
        <f t="shared" si="2"/>
        <v>1</v>
      </c>
      <c r="I21" s="26">
        <v>7106.7317999999996</v>
      </c>
      <c r="J21" s="27">
        <v>1.6963589999999999E-3</v>
      </c>
      <c r="K21" s="28">
        <f t="shared" si="1"/>
        <v>0.1265538760047919</v>
      </c>
      <c r="L21" s="29">
        <f t="shared" si="3"/>
        <v>0</v>
      </c>
    </row>
    <row r="22" spans="2:12" x14ac:dyDescent="0.25">
      <c r="B22" s="19" t="s">
        <v>22</v>
      </c>
      <c r="C22" s="30">
        <v>3146.8370267967302</v>
      </c>
      <c r="D22" s="31">
        <v>0.18422820000000001</v>
      </c>
      <c r="E22" s="22">
        <v>3146.837</v>
      </c>
      <c r="F22" s="23">
        <v>0.112405592</v>
      </c>
      <c r="G22" s="24">
        <f t="shared" si="0"/>
        <v>-8.5154490128413732E-9</v>
      </c>
      <c r="H22" s="25">
        <f t="shared" si="2"/>
        <v>1</v>
      </c>
      <c r="I22" s="26">
        <v>3146.837</v>
      </c>
      <c r="J22" s="27">
        <v>1.781861E-3</v>
      </c>
      <c r="K22" s="28">
        <f t="shared" si="1"/>
        <v>-8.5154490128413732E-9</v>
      </c>
      <c r="L22" s="29">
        <f t="shared" si="3"/>
        <v>1</v>
      </c>
    </row>
    <row r="23" spans="2:12" x14ac:dyDescent="0.25">
      <c r="B23" s="19" t="s">
        <v>23</v>
      </c>
      <c r="C23" s="30">
        <v>6175.9938401935997</v>
      </c>
      <c r="D23" s="31">
        <v>0.25456649999999997</v>
      </c>
      <c r="E23" s="22">
        <v>6175.9938000000002</v>
      </c>
      <c r="F23" s="23">
        <v>0.112286156</v>
      </c>
      <c r="G23" s="24">
        <f t="shared" si="0"/>
        <v>-6.5080374962683978E-9</v>
      </c>
      <c r="H23" s="25">
        <f t="shared" si="2"/>
        <v>1</v>
      </c>
      <c r="I23" s="26">
        <v>6175.9938000000002</v>
      </c>
      <c r="J23" s="27">
        <v>2.2418080000000001E-3</v>
      </c>
      <c r="K23" s="28">
        <f t="shared" si="1"/>
        <v>-6.5080374962683978E-9</v>
      </c>
      <c r="L23" s="29">
        <f t="shared" si="3"/>
        <v>1</v>
      </c>
    </row>
    <row r="24" spans="2:12" x14ac:dyDescent="0.25">
      <c r="B24" s="19" t="s">
        <v>24</v>
      </c>
      <c r="C24" s="30">
        <v>3571.8098858653998</v>
      </c>
      <c r="D24" s="31">
        <v>0.21062739999999999</v>
      </c>
      <c r="E24" s="22">
        <v>3571.8099000000002</v>
      </c>
      <c r="F24" s="23">
        <v>0.33767346100000001</v>
      </c>
      <c r="G24" s="24">
        <f t="shared" si="0"/>
        <v>3.9572656040857533E-9</v>
      </c>
      <c r="H24" s="25">
        <f t="shared" si="2"/>
        <v>1</v>
      </c>
      <c r="I24" s="26">
        <v>3571.8099000000002</v>
      </c>
      <c r="J24" s="27">
        <v>1.748908E-3</v>
      </c>
      <c r="K24" s="28">
        <f t="shared" si="1"/>
        <v>3.9572656040857533E-9</v>
      </c>
      <c r="L24" s="29">
        <f t="shared" si="3"/>
        <v>1</v>
      </c>
    </row>
    <row r="25" spans="2:12" x14ac:dyDescent="0.25">
      <c r="B25" s="19" t="s">
        <v>25</v>
      </c>
      <c r="C25" s="30">
        <v>6043.1100790464006</v>
      </c>
      <c r="D25" s="31">
        <v>0.28952879999999998</v>
      </c>
      <c r="E25" s="22">
        <v>6043.1100999999999</v>
      </c>
      <c r="F25" s="23">
        <v>0.50298216100000004</v>
      </c>
      <c r="G25" s="24">
        <f t="shared" si="0"/>
        <v>3.4673535577734624E-9</v>
      </c>
      <c r="H25" s="25">
        <f t="shared" si="2"/>
        <v>1</v>
      </c>
      <c r="I25" s="26">
        <v>7582.7830999999996</v>
      </c>
      <c r="J25" s="27">
        <v>2.1730090000000001E-3</v>
      </c>
      <c r="K25" s="28">
        <f t="shared" si="1"/>
        <v>0.25478156128450974</v>
      </c>
      <c r="L25" s="29">
        <f t="shared" si="3"/>
        <v>0</v>
      </c>
    </row>
    <row r="26" spans="2:12" x14ac:dyDescent="0.25">
      <c r="B26" s="19" t="s">
        <v>26</v>
      </c>
      <c r="C26" s="30">
        <v>4202.3330471045001</v>
      </c>
      <c r="D26" s="31">
        <v>0.30620989999999998</v>
      </c>
      <c r="E26" s="22">
        <v>4202.3329999999996</v>
      </c>
      <c r="F26" s="23">
        <v>0.43741449900000001</v>
      </c>
      <c r="G26" s="24">
        <f t="shared" si="0"/>
        <v>-1.1209130726553346E-8</v>
      </c>
      <c r="H26" s="25">
        <f t="shared" si="2"/>
        <v>1</v>
      </c>
      <c r="I26" s="26">
        <v>4202.3329999999996</v>
      </c>
      <c r="J26" s="27">
        <v>2.180764E-3</v>
      </c>
      <c r="K26" s="28">
        <f t="shared" si="1"/>
        <v>-1.1209130726553346E-8</v>
      </c>
      <c r="L26" s="29">
        <f t="shared" si="3"/>
        <v>1</v>
      </c>
    </row>
    <row r="27" spans="2:12" x14ac:dyDescent="0.25">
      <c r="B27" s="19" t="s">
        <v>27</v>
      </c>
      <c r="C27" s="30">
        <v>5535.715277865449</v>
      </c>
      <c r="D27" s="31">
        <v>0.27727629999999998</v>
      </c>
      <c r="E27" s="22">
        <v>5535.7152999999998</v>
      </c>
      <c r="F27" s="23">
        <v>0.46681748499999998</v>
      </c>
      <c r="G27" s="24">
        <f t="shared" si="0"/>
        <v>3.9984987859679627E-9</v>
      </c>
      <c r="H27" s="25">
        <f t="shared" si="2"/>
        <v>1</v>
      </c>
      <c r="I27" s="26">
        <v>5843.5045</v>
      </c>
      <c r="J27" s="27">
        <v>2.2124829999999999E-3</v>
      </c>
      <c r="K27" s="28">
        <f t="shared" si="1"/>
        <v>5.5600623710768834E-2</v>
      </c>
      <c r="L27" s="29">
        <f t="shared" si="3"/>
        <v>0</v>
      </c>
    </row>
    <row r="28" spans="2:12" x14ac:dyDescent="0.25">
      <c r="B28" s="19" t="s">
        <v>28</v>
      </c>
      <c r="C28" s="30">
        <v>4147.7958887549894</v>
      </c>
      <c r="D28" s="31">
        <v>0.24827949999999999</v>
      </c>
      <c r="E28" s="22">
        <v>4147.7959000000001</v>
      </c>
      <c r="F28" s="23">
        <v>0.46112862199999999</v>
      </c>
      <c r="G28" s="24">
        <f t="shared" si="0"/>
        <v>2.7110810136778078E-9</v>
      </c>
      <c r="H28" s="25">
        <f t="shared" si="2"/>
        <v>1</v>
      </c>
      <c r="I28" s="26">
        <v>4335.5069999999996</v>
      </c>
      <c r="J28" s="27">
        <v>4.3320310000000001E-3</v>
      </c>
      <c r="K28" s="28">
        <f t="shared" si="1"/>
        <v>4.5255628839864143E-2</v>
      </c>
      <c r="L28" s="29">
        <f t="shared" si="3"/>
        <v>0</v>
      </c>
    </row>
    <row r="29" spans="2:12" x14ac:dyDescent="0.25">
      <c r="B29" s="19" t="s">
        <v>29</v>
      </c>
      <c r="C29" s="30">
        <v>2590.8062434634526</v>
      </c>
      <c r="D29" s="31">
        <v>0.25481670000000001</v>
      </c>
      <c r="E29" s="22">
        <v>2590.8062</v>
      </c>
      <c r="F29" s="23">
        <v>0.44625425499999999</v>
      </c>
      <c r="G29" s="24">
        <f t="shared" si="0"/>
        <v>-1.6776033597342178E-8</v>
      </c>
      <c r="H29" s="25">
        <f t="shared" si="2"/>
        <v>1</v>
      </c>
      <c r="I29" s="26">
        <v>2624.7782000000002</v>
      </c>
      <c r="J29" s="27">
        <v>2.2051290000000001E-3</v>
      </c>
      <c r="K29" s="28">
        <f t="shared" si="1"/>
        <v>1.3112503732094256E-2</v>
      </c>
      <c r="L29" s="29">
        <f t="shared" si="3"/>
        <v>0</v>
      </c>
    </row>
    <row r="30" spans="2:12" x14ac:dyDescent="0.25">
      <c r="B30" s="19" t="s">
        <v>30</v>
      </c>
      <c r="C30" s="30">
        <v>5807.7549802582653</v>
      </c>
      <c r="D30" s="31">
        <v>0.25724229999999998</v>
      </c>
      <c r="E30" s="22">
        <v>5807.7550000000001</v>
      </c>
      <c r="F30" s="23">
        <v>0.20508000500000001</v>
      </c>
      <c r="G30" s="24">
        <f t="shared" si="0"/>
        <v>3.3992024282833395E-9</v>
      </c>
      <c r="H30" s="25">
        <f t="shared" si="2"/>
        <v>1</v>
      </c>
      <c r="I30" s="26">
        <v>6515.8118999999997</v>
      </c>
      <c r="J30" s="27">
        <v>2.575407E-3</v>
      </c>
      <c r="K30" s="28">
        <f t="shared" si="1"/>
        <v>0.12191576988846176</v>
      </c>
      <c r="L30" s="29">
        <f t="shared" si="3"/>
        <v>0</v>
      </c>
    </row>
    <row r="31" spans="2:12" x14ac:dyDescent="0.25">
      <c r="B31" s="19" t="s">
        <v>31</v>
      </c>
      <c r="C31" s="30">
        <v>6156.6419506415014</v>
      </c>
      <c r="D31" s="31">
        <v>0.4161975</v>
      </c>
      <c r="E31" s="22">
        <v>6156.6419999999998</v>
      </c>
      <c r="F31" s="23">
        <v>0.14822453699999999</v>
      </c>
      <c r="G31" s="24">
        <f t="shared" si="0"/>
        <v>8.017113690895466E-9</v>
      </c>
      <c r="H31" s="25">
        <f t="shared" si="2"/>
        <v>1</v>
      </c>
      <c r="I31" s="26">
        <v>6745.6647000000003</v>
      </c>
      <c r="J31" s="27">
        <v>2.3922119999999999E-3</v>
      </c>
      <c r="K31" s="28">
        <f t="shared" si="1"/>
        <v>9.5672731024600957E-2</v>
      </c>
      <c r="L31" s="29">
        <f t="shared" si="3"/>
        <v>0</v>
      </c>
    </row>
    <row r="32" spans="2:12" x14ac:dyDescent="0.25">
      <c r="B32" s="19" t="s">
        <v>32</v>
      </c>
      <c r="C32" s="30">
        <v>5988.0257231382502</v>
      </c>
      <c r="D32" s="31">
        <v>0.25277670000000002</v>
      </c>
      <c r="E32" s="22">
        <v>5988.0257000000001</v>
      </c>
      <c r="F32" s="23">
        <v>0.127974535</v>
      </c>
      <c r="G32" s="24">
        <f t="shared" si="0"/>
        <v>-3.8640866190819733E-9</v>
      </c>
      <c r="H32" s="25">
        <f t="shared" si="2"/>
        <v>1</v>
      </c>
      <c r="I32" s="26">
        <v>8145.4692999999997</v>
      </c>
      <c r="J32" s="27">
        <v>4.2303089999999998E-3</v>
      </c>
      <c r="K32" s="28">
        <f t="shared" si="1"/>
        <v>0.36029297077419031</v>
      </c>
      <c r="L32" s="29">
        <f t="shared" si="3"/>
        <v>0</v>
      </c>
    </row>
    <row r="33" spans="2:12" x14ac:dyDescent="0.25">
      <c r="B33" s="19" t="s">
        <v>33</v>
      </c>
      <c r="C33" s="30">
        <v>3421.2208357118498</v>
      </c>
      <c r="D33" s="31">
        <v>0.29809180000000002</v>
      </c>
      <c r="E33" s="22">
        <v>3421.2208000000001</v>
      </c>
      <c r="F33" s="23">
        <v>0.14150341399999999</v>
      </c>
      <c r="G33" s="24">
        <f t="shared" si="0"/>
        <v>-1.0438335149895799E-8</v>
      </c>
      <c r="H33" s="25">
        <f t="shared" si="2"/>
        <v>1</v>
      </c>
      <c r="I33" s="26">
        <v>4699.2772000000004</v>
      </c>
      <c r="J33" s="27">
        <v>5.6725689999999997E-3</v>
      </c>
      <c r="K33" s="28">
        <f t="shared" si="1"/>
        <v>0.37356733916366053</v>
      </c>
      <c r="L33" s="29">
        <f t="shared" si="3"/>
        <v>0</v>
      </c>
    </row>
    <row r="34" spans="2:12" x14ac:dyDescent="0.25">
      <c r="B34" s="19" t="s">
        <v>34</v>
      </c>
      <c r="C34" s="30">
        <v>5912.4970000354997</v>
      </c>
      <c r="D34" s="31">
        <v>0.25963170000000002</v>
      </c>
      <c r="E34" s="22">
        <v>5912.4970000000003</v>
      </c>
      <c r="F34" s="23">
        <v>0.124967784</v>
      </c>
      <c r="G34" s="24">
        <f t="shared" si="0"/>
        <v>-6.0041294227105388E-12</v>
      </c>
      <c r="H34" s="25">
        <f t="shared" si="2"/>
        <v>1</v>
      </c>
      <c r="I34" s="26">
        <v>5912.4970000000003</v>
      </c>
      <c r="J34" s="27">
        <v>3.1961979999999999E-3</v>
      </c>
      <c r="K34" s="28">
        <f t="shared" si="1"/>
        <v>-6.0041294227105388E-12</v>
      </c>
      <c r="L34" s="29">
        <f t="shared" si="3"/>
        <v>1</v>
      </c>
    </row>
    <row r="35" spans="2:12" x14ac:dyDescent="0.25">
      <c r="B35" s="19" t="s">
        <v>35</v>
      </c>
      <c r="C35" s="30">
        <v>4683.6079673891199</v>
      </c>
      <c r="D35" s="31">
        <v>0.3092683</v>
      </c>
      <c r="E35" s="22">
        <v>4683.6080000000002</v>
      </c>
      <c r="F35" s="23">
        <v>0.327765007</v>
      </c>
      <c r="G35" s="24">
        <f t="shared" si="0"/>
        <v>6.9627689705478364E-9</v>
      </c>
      <c r="H35" s="25">
        <f t="shared" si="2"/>
        <v>1</v>
      </c>
      <c r="I35" s="26">
        <v>5376.4161000000004</v>
      </c>
      <c r="J35" s="27">
        <v>4.1951219999999999E-3</v>
      </c>
      <c r="K35" s="28">
        <f t="shared" si="1"/>
        <v>0.14792188787677008</v>
      </c>
      <c r="L35" s="29">
        <f t="shared" si="3"/>
        <v>0</v>
      </c>
    </row>
    <row r="36" spans="2:12" x14ac:dyDescent="0.25">
      <c r="B36" s="19" t="s">
        <v>36</v>
      </c>
      <c r="C36" s="30">
        <v>2195.0341849958654</v>
      </c>
      <c r="D36" s="31">
        <v>0.28340270000000001</v>
      </c>
      <c r="E36" s="22">
        <v>2195.0342000000001</v>
      </c>
      <c r="F36" s="23">
        <v>0.32672557499999999</v>
      </c>
      <c r="G36" s="24">
        <f t="shared" si="0"/>
        <v>6.8354901902167872E-9</v>
      </c>
      <c r="H36" s="25">
        <f t="shared" si="2"/>
        <v>1</v>
      </c>
      <c r="I36" s="26">
        <v>3205.4694</v>
      </c>
      <c r="J36" s="27">
        <v>4.0516720000000001E-3</v>
      </c>
      <c r="K36" s="28">
        <f t="shared" si="1"/>
        <v>0.46032778072931824</v>
      </c>
      <c r="L36" s="29">
        <f t="shared" si="3"/>
        <v>0</v>
      </c>
    </row>
    <row r="37" spans="2:12" x14ac:dyDescent="0.25">
      <c r="B37" s="19" t="s">
        <v>37</v>
      </c>
      <c r="C37" s="30">
        <v>4302.3111204219595</v>
      </c>
      <c r="D37" s="31">
        <v>0.26607989999999998</v>
      </c>
      <c r="E37" s="22">
        <v>4302.3110999999999</v>
      </c>
      <c r="F37" s="23">
        <v>0.42512230400000001</v>
      </c>
      <c r="G37" s="24">
        <f t="shared" si="0"/>
        <v>-4.7467416906944007E-9</v>
      </c>
      <c r="H37" s="25">
        <f t="shared" si="2"/>
        <v>1</v>
      </c>
      <c r="I37" s="26">
        <v>6489.8401999999996</v>
      </c>
      <c r="J37" s="27">
        <v>4.7934609999999997E-3</v>
      </c>
      <c r="K37" s="28">
        <f t="shared" si="1"/>
        <v>0.5084544139995838</v>
      </c>
      <c r="L37" s="29">
        <f t="shared" si="3"/>
        <v>0</v>
      </c>
    </row>
    <row r="38" spans="2:12" x14ac:dyDescent="0.25">
      <c r="B38" s="19" t="s">
        <v>38</v>
      </c>
      <c r="C38" s="30">
        <v>1914.817150229037</v>
      </c>
      <c r="D38" s="31">
        <v>0.28689209999999998</v>
      </c>
      <c r="E38" s="22">
        <v>1914.8172</v>
      </c>
      <c r="F38" s="23">
        <v>0.41259610899999999</v>
      </c>
      <c r="G38" s="24">
        <f t="shared" si="0"/>
        <v>2.5992540830297964E-8</v>
      </c>
      <c r="H38" s="25">
        <f t="shared" si="2"/>
        <v>1</v>
      </c>
      <c r="I38" s="26">
        <v>2038.2734</v>
      </c>
      <c r="J38" s="27">
        <v>4.5769820000000003E-3</v>
      </c>
      <c r="K38" s="28">
        <f t="shared" si="1"/>
        <v>6.4474171727674404E-2</v>
      </c>
      <c r="L38" s="29">
        <f t="shared" si="3"/>
        <v>0</v>
      </c>
    </row>
    <row r="39" spans="2:12" x14ac:dyDescent="0.25">
      <c r="B39" s="19" t="s">
        <v>39</v>
      </c>
      <c r="C39" s="30">
        <v>4898.3027644025497</v>
      </c>
      <c r="D39" s="31">
        <v>0.35634169999999998</v>
      </c>
      <c r="E39" s="22">
        <v>4898.3028000000004</v>
      </c>
      <c r="F39" s="23">
        <v>0.446705723</v>
      </c>
      <c r="G39" s="24">
        <f t="shared" si="0"/>
        <v>7.2673030731361148E-9</v>
      </c>
      <c r="H39" s="25">
        <f t="shared" si="2"/>
        <v>1</v>
      </c>
      <c r="I39" s="26">
        <v>4898.3028000000004</v>
      </c>
      <c r="J39" s="27">
        <v>4.1660869999999997E-3</v>
      </c>
      <c r="K39" s="28">
        <f t="shared" si="1"/>
        <v>7.2673030731361148E-9</v>
      </c>
      <c r="L39" s="29">
        <f t="shared" si="3"/>
        <v>1</v>
      </c>
    </row>
    <row r="40" spans="2:12" x14ac:dyDescent="0.25">
      <c r="B40" s="19" t="s">
        <v>40</v>
      </c>
      <c r="C40" s="30">
        <v>2769.6938056653944</v>
      </c>
      <c r="D40" s="31">
        <v>0.21940390000000001</v>
      </c>
      <c r="E40" s="22">
        <v>2769.6938</v>
      </c>
      <c r="F40" s="23">
        <v>0.44390649100000001</v>
      </c>
      <c r="G40" s="24">
        <f t="shared" si="0"/>
        <v>-2.0454948382273273E-9</v>
      </c>
      <c r="H40" s="25">
        <f t="shared" si="2"/>
        <v>1</v>
      </c>
      <c r="I40" s="26">
        <v>3074.2982000000002</v>
      </c>
      <c r="J40" s="27">
        <v>2.6517910000000001E-3</v>
      </c>
      <c r="K40" s="28">
        <f t="shared" si="1"/>
        <v>0.1099776421897392</v>
      </c>
      <c r="L40" s="29">
        <f t="shared" si="3"/>
        <v>0</v>
      </c>
    </row>
    <row r="41" spans="2:12" x14ac:dyDescent="0.25">
      <c r="B41" s="19" t="s">
        <v>41</v>
      </c>
      <c r="C41" s="30">
        <v>4417.4211666635001</v>
      </c>
      <c r="D41" s="31">
        <v>0.26957179999999997</v>
      </c>
      <c r="E41" s="22">
        <v>4417.4211999999998</v>
      </c>
      <c r="F41" s="23">
        <v>0.54239990199999999</v>
      </c>
      <c r="G41" s="24">
        <f t="shared" si="0"/>
        <v>7.5465975276607365E-9</v>
      </c>
      <c r="H41" s="25">
        <f t="shared" si="2"/>
        <v>1</v>
      </c>
      <c r="I41" s="26">
        <v>5197.5918000000001</v>
      </c>
      <c r="J41" s="27">
        <v>9.1014459999999991E-3</v>
      </c>
      <c r="K41" s="28">
        <f t="shared" si="1"/>
        <v>0.17661223684626992</v>
      </c>
      <c r="L41" s="29">
        <f t="shared" si="3"/>
        <v>0</v>
      </c>
    </row>
    <row r="42" spans="2:12" x14ac:dyDescent="0.25">
      <c r="B42" s="19" t="s">
        <v>42</v>
      </c>
      <c r="C42" s="30">
        <v>5457.1129768235496</v>
      </c>
      <c r="D42" s="31">
        <v>0.34002450000000001</v>
      </c>
      <c r="E42" s="22">
        <v>5457.1130000000003</v>
      </c>
      <c r="F42" s="23">
        <v>0.55014643200000002</v>
      </c>
      <c r="G42" s="24">
        <f t="shared" si="0"/>
        <v>4.2470168322319531E-9</v>
      </c>
      <c r="H42" s="25">
        <f t="shared" si="2"/>
        <v>1</v>
      </c>
      <c r="I42" s="26">
        <v>6107.6625000000004</v>
      </c>
      <c r="J42" s="27">
        <v>3.0050770000000001E-3</v>
      </c>
      <c r="K42" s="28">
        <f t="shared" si="1"/>
        <v>0.11921129834389456</v>
      </c>
      <c r="L42" s="29">
        <f t="shared" si="3"/>
        <v>0</v>
      </c>
    </row>
    <row r="43" spans="2:12" x14ac:dyDescent="0.25">
      <c r="B43" s="19" t="s">
        <v>43</v>
      </c>
      <c r="C43" s="30">
        <v>1447.3592798297004</v>
      </c>
      <c r="D43" s="31">
        <v>0.31667659999999997</v>
      </c>
      <c r="E43" s="22">
        <v>1447.3593000000001</v>
      </c>
      <c r="F43" s="23">
        <v>0.447597509</v>
      </c>
      <c r="G43" s="24">
        <f t="shared" si="0"/>
        <v>1.3935931409894067E-8</v>
      </c>
      <c r="H43" s="25">
        <f t="shared" si="2"/>
        <v>1</v>
      </c>
      <c r="I43" s="26">
        <v>1500.1325999999999</v>
      </c>
      <c r="J43" s="27">
        <v>2.8644819999999998E-3</v>
      </c>
      <c r="K43" s="28">
        <f t="shared" si="1"/>
        <v>3.6461796946856841E-2</v>
      </c>
      <c r="L43" s="29">
        <f t="shared" si="3"/>
        <v>0</v>
      </c>
    </row>
    <row r="44" spans="2:12" x14ac:dyDescent="0.25">
      <c r="B44" s="19" t="s">
        <v>44</v>
      </c>
      <c r="C44" s="30">
        <v>4951.7896340640991</v>
      </c>
      <c r="D44" s="31">
        <v>0.26989289999999999</v>
      </c>
      <c r="E44" s="22">
        <v>4951.7896000000001</v>
      </c>
      <c r="F44" s="23">
        <v>0.42276276899999998</v>
      </c>
      <c r="G44" s="24">
        <f t="shared" si="0"/>
        <v>-6.8791490696705116E-9</v>
      </c>
      <c r="H44" s="25">
        <f t="shared" si="2"/>
        <v>1</v>
      </c>
      <c r="I44" s="26">
        <v>6855.0387000000001</v>
      </c>
      <c r="J44" s="27">
        <v>2.4217280000000002E-3</v>
      </c>
      <c r="K44" s="28">
        <f t="shared" si="1"/>
        <v>0.38435579994012004</v>
      </c>
      <c r="L44" s="29">
        <f t="shared" si="3"/>
        <v>0</v>
      </c>
    </row>
    <row r="45" spans="2:12" x14ac:dyDescent="0.25">
      <c r="B45" s="19" t="s">
        <v>45</v>
      </c>
      <c r="C45" s="30">
        <v>4740.5654089422014</v>
      </c>
      <c r="D45" s="31">
        <v>0.31306840000000002</v>
      </c>
      <c r="E45" s="22">
        <v>4740.5654000000004</v>
      </c>
      <c r="F45" s="23">
        <v>0.21418248400000001</v>
      </c>
      <c r="G45" s="24">
        <f t="shared" si="0"/>
        <v>-1.8863152913526972E-9</v>
      </c>
      <c r="H45" s="25">
        <f t="shared" si="2"/>
        <v>1</v>
      </c>
      <c r="I45" s="26">
        <v>4740.5654000000004</v>
      </c>
      <c r="J45" s="27">
        <v>1.155529E-3</v>
      </c>
      <c r="K45" s="28">
        <f t="shared" si="1"/>
        <v>-1.8863152913526972E-9</v>
      </c>
      <c r="L45" s="29">
        <f t="shared" si="3"/>
        <v>1</v>
      </c>
    </row>
    <row r="46" spans="2:12" x14ac:dyDescent="0.25">
      <c r="B46" s="19" t="s">
        <v>46</v>
      </c>
      <c r="C46" s="30">
        <v>6598.639254831849</v>
      </c>
      <c r="D46" s="31">
        <v>0.44430130000000001</v>
      </c>
      <c r="E46" s="22">
        <v>6598.6392999999998</v>
      </c>
      <c r="F46" s="23">
        <v>0.13159332600000001</v>
      </c>
      <c r="G46" s="24">
        <f t="shared" si="0"/>
        <v>6.8450704829889467E-9</v>
      </c>
      <c r="H46" s="25">
        <f t="shared" si="2"/>
        <v>1</v>
      </c>
      <c r="I46" s="26">
        <v>6598.6392999999998</v>
      </c>
      <c r="J46" s="27">
        <v>1.4758340000000001E-3</v>
      </c>
      <c r="K46" s="28">
        <f t="shared" si="1"/>
        <v>6.8450704829889467E-9</v>
      </c>
      <c r="L46" s="29">
        <f t="shared" si="3"/>
        <v>1</v>
      </c>
    </row>
    <row r="47" spans="2:12" x14ac:dyDescent="0.25">
      <c r="B47" s="19" t="s">
        <v>47</v>
      </c>
      <c r="C47" s="30">
        <v>6580.5103354316998</v>
      </c>
      <c r="D47" s="31">
        <v>0.29680459999999997</v>
      </c>
      <c r="E47" s="22">
        <v>6580.5102999999999</v>
      </c>
      <c r="F47" s="23">
        <v>8.4809912000000001E-2</v>
      </c>
      <c r="G47" s="24">
        <f t="shared" si="0"/>
        <v>-5.384339217612482E-9</v>
      </c>
      <c r="H47" s="25">
        <f t="shared" si="2"/>
        <v>1</v>
      </c>
      <c r="I47" s="26">
        <v>6580.5102999999999</v>
      </c>
      <c r="J47" s="27">
        <v>1.165457E-3</v>
      </c>
      <c r="K47" s="28">
        <f t="shared" si="1"/>
        <v>-5.384339217612482E-9</v>
      </c>
      <c r="L47" s="29">
        <f t="shared" si="3"/>
        <v>1</v>
      </c>
    </row>
    <row r="48" spans="2:12" x14ac:dyDescent="0.25">
      <c r="B48" s="19" t="s">
        <v>48</v>
      </c>
      <c r="C48" s="30">
        <v>5776.3155795126004</v>
      </c>
      <c r="D48" s="31">
        <v>0.27070179999999999</v>
      </c>
      <c r="E48" s="22">
        <v>5776.3155999999999</v>
      </c>
      <c r="F48" s="23">
        <v>8.0516031000000002E-2</v>
      </c>
      <c r="G48" s="24">
        <f t="shared" si="0"/>
        <v>3.5467936684573813E-9</v>
      </c>
      <c r="H48" s="25">
        <f t="shared" si="2"/>
        <v>1</v>
      </c>
      <c r="I48" s="26">
        <v>6120.1976000000004</v>
      </c>
      <c r="J48" s="27">
        <v>1.1777420000000001E-3</v>
      </c>
      <c r="K48" s="28">
        <f t="shared" si="1"/>
        <v>5.9533108216434476E-2</v>
      </c>
      <c r="L48" s="29">
        <f t="shared" si="3"/>
        <v>0</v>
      </c>
    </row>
    <row r="49" spans="2:12" x14ac:dyDescent="0.25">
      <c r="B49" s="19" t="s">
        <v>49</v>
      </c>
      <c r="C49" s="30">
        <v>6686.7506587946409</v>
      </c>
      <c r="D49" s="31">
        <v>0.24621699999999999</v>
      </c>
      <c r="E49" s="22">
        <v>6686.7506999999996</v>
      </c>
      <c r="F49" s="23">
        <v>7.8843697000000004E-2</v>
      </c>
      <c r="G49" s="24">
        <f t="shared" si="0"/>
        <v>6.1622394473529379E-9</v>
      </c>
      <c r="H49" s="25">
        <f t="shared" si="2"/>
        <v>1</v>
      </c>
      <c r="I49" s="26">
        <v>7722.8167000000003</v>
      </c>
      <c r="J49" s="27">
        <v>1.190745E-3</v>
      </c>
      <c r="K49" s="28">
        <f t="shared" si="1"/>
        <v>0.15494312470627122</v>
      </c>
      <c r="L49" s="29">
        <f t="shared" si="3"/>
        <v>0</v>
      </c>
    </row>
    <row r="50" spans="2:12" x14ac:dyDescent="0.25">
      <c r="B50" s="19" t="s">
        <v>50</v>
      </c>
      <c r="C50" s="30">
        <v>5125.1469441661002</v>
      </c>
      <c r="D50" s="31">
        <v>0.27085229999999999</v>
      </c>
      <c r="E50" s="22">
        <v>5125.1468999999997</v>
      </c>
      <c r="F50" s="23">
        <v>7.0692644999999998E-2</v>
      </c>
      <c r="G50" s="24">
        <f t="shared" si="0"/>
        <v>-8.6175286158032824E-9</v>
      </c>
      <c r="H50" s="25">
        <f t="shared" si="2"/>
        <v>1</v>
      </c>
      <c r="I50" s="26">
        <v>5125.1468999999997</v>
      </c>
      <c r="J50" s="27">
        <v>8.6574789999999992E-3</v>
      </c>
      <c r="K50" s="28">
        <f t="shared" si="1"/>
        <v>-8.6175286158032824E-9</v>
      </c>
      <c r="L50" s="29">
        <f t="shared" si="3"/>
        <v>1</v>
      </c>
    </row>
    <row r="51" spans="2:12" x14ac:dyDescent="0.25">
      <c r="B51" s="19" t="s">
        <v>51</v>
      </c>
      <c r="C51" s="30">
        <v>6773.3035875392989</v>
      </c>
      <c r="D51" s="31">
        <v>0.4549549</v>
      </c>
      <c r="E51" s="22">
        <v>6773.3036000000002</v>
      </c>
      <c r="F51" s="23">
        <v>6.9441625000000007E-2</v>
      </c>
      <c r="G51" s="24">
        <f t="shared" si="0"/>
        <v>1.8396785507412096E-9</v>
      </c>
      <c r="H51" s="25">
        <f t="shared" si="2"/>
        <v>1</v>
      </c>
      <c r="I51" s="26">
        <v>6773.3036000000002</v>
      </c>
      <c r="J51" s="27">
        <v>1.9105929999999999E-3</v>
      </c>
      <c r="K51" s="28">
        <f t="shared" si="1"/>
        <v>1.8396785507412096E-9</v>
      </c>
      <c r="L51" s="29">
        <f t="shared" si="3"/>
        <v>1</v>
      </c>
    </row>
    <row r="52" spans="2:12" x14ac:dyDescent="0.25">
      <c r="B52" s="19" t="s">
        <v>52</v>
      </c>
      <c r="C52" s="30">
        <v>7948.4465302158515</v>
      </c>
      <c r="D52" s="31">
        <v>0.47112169999999998</v>
      </c>
      <c r="E52" s="22">
        <v>7948.4465</v>
      </c>
      <c r="F52" s="23">
        <v>0.117021598</v>
      </c>
      <c r="G52" s="24">
        <f t="shared" si="0"/>
        <v>-3.8014788580174134E-9</v>
      </c>
      <c r="H52" s="25">
        <f t="shared" si="2"/>
        <v>1</v>
      </c>
      <c r="I52" s="26">
        <v>7991.2431999999999</v>
      </c>
      <c r="J52" s="27">
        <v>2.920518E-3</v>
      </c>
      <c r="K52" s="28">
        <f t="shared" si="1"/>
        <v>5.3842810191221391E-3</v>
      </c>
      <c r="L52" s="29">
        <f t="shared" si="3"/>
        <v>0</v>
      </c>
    </row>
    <row r="53" spans="2:12" x14ac:dyDescent="0.25">
      <c r="B53" s="19" t="s">
        <v>53</v>
      </c>
      <c r="C53" s="30">
        <v>5716.3299420115654</v>
      </c>
      <c r="D53" s="31">
        <v>0.34568270000000001</v>
      </c>
      <c r="E53" s="22">
        <v>5716.3298999999997</v>
      </c>
      <c r="F53" s="23">
        <v>0.12939655899999999</v>
      </c>
      <c r="G53" s="24">
        <f t="shared" si="0"/>
        <v>-7.3493948279558504E-9</v>
      </c>
      <c r="H53" s="25">
        <f t="shared" si="2"/>
        <v>1</v>
      </c>
      <c r="I53" s="26">
        <v>5716.3298999999997</v>
      </c>
      <c r="J53" s="27">
        <v>3.9141230000000003E-3</v>
      </c>
      <c r="K53" s="28">
        <f t="shared" si="1"/>
        <v>-7.3493948279558504E-9</v>
      </c>
      <c r="L53" s="29">
        <f t="shared" si="3"/>
        <v>1</v>
      </c>
    </row>
    <row r="54" spans="2:12" x14ac:dyDescent="0.25">
      <c r="B54" s="19" t="s">
        <v>54</v>
      </c>
      <c r="C54" s="30">
        <v>4676.18367017332</v>
      </c>
      <c r="D54" s="31">
        <v>0.35807099999999997</v>
      </c>
      <c r="E54" s="22">
        <v>4676.1836999999996</v>
      </c>
      <c r="F54" s="23">
        <v>0.14353853999999999</v>
      </c>
      <c r="G54" s="24">
        <f t="shared" si="0"/>
        <v>6.3784234472120261E-9</v>
      </c>
      <c r="H54" s="25">
        <f t="shared" si="2"/>
        <v>1</v>
      </c>
      <c r="I54" s="26">
        <v>5133.1211000000003</v>
      </c>
      <c r="J54" s="27">
        <v>1.7076509999999999E-3</v>
      </c>
      <c r="K54" s="28">
        <f t="shared" si="1"/>
        <v>9.7715885871040686E-2</v>
      </c>
      <c r="L54" s="29">
        <f t="shared" si="3"/>
        <v>0</v>
      </c>
    </row>
    <row r="55" spans="2:12" x14ac:dyDescent="0.25">
      <c r="B55" s="19" t="s">
        <v>55</v>
      </c>
      <c r="C55" s="30">
        <v>2262.8869754891562</v>
      </c>
      <c r="D55" s="31">
        <v>0.41425210000000001</v>
      </c>
      <c r="E55" s="22">
        <v>2262.8870000000002</v>
      </c>
      <c r="F55" s="23">
        <v>0.19132110399999999</v>
      </c>
      <c r="G55" s="24">
        <f t="shared" si="0"/>
        <v>1.0831669579389648E-8</v>
      </c>
      <c r="H55" s="25">
        <f t="shared" si="2"/>
        <v>1</v>
      </c>
      <c r="I55" s="26">
        <v>2497.1278000000002</v>
      </c>
      <c r="J55" s="27">
        <v>2.4794970000000002E-3</v>
      </c>
      <c r="K55" s="28">
        <f t="shared" si="1"/>
        <v>0.10351415119184619</v>
      </c>
      <c r="L55" s="29">
        <f t="shared" si="3"/>
        <v>0</v>
      </c>
    </row>
    <row r="56" spans="2:12" x14ac:dyDescent="0.25">
      <c r="B56" s="19" t="s">
        <v>56</v>
      </c>
      <c r="C56" s="30">
        <v>3883.1849860069492</v>
      </c>
      <c r="D56" s="31">
        <v>0.29020069999999998</v>
      </c>
      <c r="E56" s="22">
        <v>3883.1849999999999</v>
      </c>
      <c r="F56" s="23">
        <v>0.19157819600000001</v>
      </c>
      <c r="G56" s="24">
        <f t="shared" si="0"/>
        <v>3.6034983636975221E-9</v>
      </c>
      <c r="H56" s="25">
        <f t="shared" si="2"/>
        <v>1</v>
      </c>
      <c r="I56" s="26">
        <v>4024.8735999999999</v>
      </c>
      <c r="J56" s="27">
        <v>2.7039490000000002E-3</v>
      </c>
      <c r="K56" s="28">
        <f t="shared" si="1"/>
        <v>3.648773223619925E-2</v>
      </c>
      <c r="L56" s="29">
        <f t="shared" si="3"/>
        <v>0</v>
      </c>
    </row>
    <row r="57" spans="2:12" x14ac:dyDescent="0.25">
      <c r="B57" s="19" t="s">
        <v>57</v>
      </c>
      <c r="C57" s="30">
        <v>2770.1041553862265</v>
      </c>
      <c r="D57" s="31">
        <v>0.31310349999999998</v>
      </c>
      <c r="E57" s="22">
        <v>2770.1042000000002</v>
      </c>
      <c r="F57" s="23">
        <v>0.13035276500000001</v>
      </c>
      <c r="G57" s="24">
        <f t="shared" si="0"/>
        <v>1.6105449921764347E-8</v>
      </c>
      <c r="H57" s="25">
        <f t="shared" si="2"/>
        <v>1</v>
      </c>
      <c r="I57" s="26">
        <v>2770.1042000000002</v>
      </c>
      <c r="J57" s="27">
        <v>2.4201840000000001E-3</v>
      </c>
      <c r="K57" s="28">
        <f t="shared" si="1"/>
        <v>1.6105449921764347E-8</v>
      </c>
      <c r="L57" s="29">
        <f t="shared" si="3"/>
        <v>1</v>
      </c>
    </row>
    <row r="58" spans="2:12" x14ac:dyDescent="0.25">
      <c r="B58" s="19" t="s">
        <v>58</v>
      </c>
      <c r="C58" s="30">
        <v>2490.43841894355</v>
      </c>
      <c r="D58" s="31">
        <v>0.28891309999999998</v>
      </c>
      <c r="E58" s="22">
        <v>2490.4384</v>
      </c>
      <c r="F58" s="23">
        <v>0.11499448800000001</v>
      </c>
      <c r="G58" s="24">
        <f t="shared" si="0"/>
        <v>-7.6065121141803042E-9</v>
      </c>
      <c r="H58" s="25">
        <f t="shared" si="2"/>
        <v>1</v>
      </c>
      <c r="I58" s="26">
        <v>2795.3197</v>
      </c>
      <c r="J58" s="27">
        <v>2.3050459999999998E-3</v>
      </c>
      <c r="K58" s="28">
        <f t="shared" si="1"/>
        <v>0.12242072670312458</v>
      </c>
      <c r="L58" s="29">
        <f t="shared" si="3"/>
        <v>0</v>
      </c>
    </row>
    <row r="59" spans="2:12" x14ac:dyDescent="0.25">
      <c r="B59" s="19" t="s">
        <v>59</v>
      </c>
      <c r="C59" s="30">
        <v>4171.6340285626893</v>
      </c>
      <c r="D59" s="31">
        <v>0.30218430000000002</v>
      </c>
      <c r="E59" s="22">
        <v>4171.634</v>
      </c>
      <c r="F59" s="23">
        <v>0.106343017</v>
      </c>
      <c r="G59" s="24">
        <f t="shared" si="0"/>
        <v>-6.846882803972194E-9</v>
      </c>
      <c r="H59" s="25">
        <f t="shared" si="2"/>
        <v>1</v>
      </c>
      <c r="I59" s="26">
        <v>4557.5998</v>
      </c>
      <c r="J59" s="27">
        <v>2.3951070000000001E-3</v>
      </c>
      <c r="K59" s="28">
        <f t="shared" si="1"/>
        <v>9.2521484098233034E-2</v>
      </c>
      <c r="L59" s="29">
        <f t="shared" si="3"/>
        <v>0</v>
      </c>
    </row>
    <row r="60" spans="2:12" x14ac:dyDescent="0.25">
      <c r="B60" s="19" t="s">
        <v>60</v>
      </c>
      <c r="C60" s="30">
        <v>2395.6670991112151</v>
      </c>
      <c r="D60" s="31">
        <v>0.278055</v>
      </c>
      <c r="E60" s="22">
        <v>2395.6671000000001</v>
      </c>
      <c r="F60" s="23">
        <v>0.131501704</v>
      </c>
      <c r="G60" s="24">
        <f t="shared" si="0"/>
        <v>3.7099689393235988E-10</v>
      </c>
      <c r="H60" s="25">
        <f t="shared" si="2"/>
        <v>1</v>
      </c>
      <c r="I60" s="26">
        <v>3447.1251000000002</v>
      </c>
      <c r="J60" s="27">
        <v>2.6623100000000002E-3</v>
      </c>
      <c r="K60" s="28">
        <f t="shared" si="1"/>
        <v>0.43889987940264019</v>
      </c>
      <c r="L60" s="29">
        <f t="shared" si="3"/>
        <v>0</v>
      </c>
    </row>
    <row r="61" spans="2:12" x14ac:dyDescent="0.25">
      <c r="B61" s="19" t="s">
        <v>61</v>
      </c>
      <c r="C61" s="30">
        <v>2695.9263335240003</v>
      </c>
      <c r="D61" s="31">
        <v>0.54242140000000005</v>
      </c>
      <c r="E61" s="22">
        <v>2695.9263000000001</v>
      </c>
      <c r="F61" s="23">
        <v>0.12167908299999999</v>
      </c>
      <c r="G61" s="24">
        <f t="shared" si="0"/>
        <v>-1.2435057945140747E-8</v>
      </c>
      <c r="H61" s="25">
        <f t="shared" si="2"/>
        <v>1</v>
      </c>
      <c r="I61" s="26">
        <v>3101.2033999999999</v>
      </c>
      <c r="J61" s="27">
        <v>2.4683449999999998E-3</v>
      </c>
      <c r="K61" s="28">
        <f t="shared" si="1"/>
        <v>0.15032942904869315</v>
      </c>
      <c r="L61" s="29">
        <f t="shared" si="3"/>
        <v>0</v>
      </c>
    </row>
    <row r="62" spans="2:12" x14ac:dyDescent="0.25">
      <c r="B62" s="19" t="s">
        <v>62</v>
      </c>
      <c r="C62" s="30">
        <v>3882.8380339031301</v>
      </c>
      <c r="D62" s="31">
        <v>0.33447929999999998</v>
      </c>
      <c r="E62" s="22">
        <v>3882.8380000000002</v>
      </c>
      <c r="F62" s="23">
        <v>0.118227284</v>
      </c>
      <c r="G62" s="24">
        <f t="shared" si="0"/>
        <v>-8.7315333693601897E-9</v>
      </c>
      <c r="H62" s="25">
        <f t="shared" si="2"/>
        <v>1</v>
      </c>
      <c r="I62" s="26">
        <v>4121.8287</v>
      </c>
      <c r="J62" s="27">
        <v>2.6640650000000002E-3</v>
      </c>
      <c r="K62" s="28">
        <f t="shared" si="1"/>
        <v>6.1550511252366179E-2</v>
      </c>
      <c r="L62" s="29">
        <f t="shared" si="3"/>
        <v>0</v>
      </c>
    </row>
    <row r="63" spans="2:12" x14ac:dyDescent="0.25">
      <c r="B63" s="19" t="s">
        <v>63</v>
      </c>
      <c r="C63" s="30">
        <v>1970.4552160179651</v>
      </c>
      <c r="D63" s="31">
        <v>0.30608289999999999</v>
      </c>
      <c r="E63" s="22">
        <v>1970.4552000000001</v>
      </c>
      <c r="F63" s="23">
        <v>8.1796146E-2</v>
      </c>
      <c r="G63" s="24">
        <f t="shared" si="0"/>
        <v>-8.1290682735964757E-9</v>
      </c>
      <c r="H63" s="25">
        <f t="shared" si="2"/>
        <v>1</v>
      </c>
      <c r="I63" s="26">
        <v>1970.4552000000001</v>
      </c>
      <c r="J63" s="27">
        <v>3.9637960000000003E-3</v>
      </c>
      <c r="K63" s="28">
        <f t="shared" si="1"/>
        <v>-8.1290682735964757E-9</v>
      </c>
      <c r="L63" s="29">
        <f t="shared" si="3"/>
        <v>1</v>
      </c>
    </row>
    <row r="64" spans="2:12" x14ac:dyDescent="0.25">
      <c r="B64" s="19" t="s">
        <v>64</v>
      </c>
      <c r="C64" s="30">
        <v>4469.8091427398003</v>
      </c>
      <c r="D64" s="31">
        <v>0.36944519999999997</v>
      </c>
      <c r="E64" s="22">
        <v>4469.8091000000004</v>
      </c>
      <c r="F64" s="23">
        <v>0.120734576</v>
      </c>
      <c r="G64" s="24">
        <f t="shared" si="0"/>
        <v>-9.561884763430927E-9</v>
      </c>
      <c r="H64" s="25">
        <f t="shared" si="2"/>
        <v>1</v>
      </c>
      <c r="I64" s="26">
        <v>5061.7511000000004</v>
      </c>
      <c r="J64" s="27">
        <v>4.9190579999999996E-3</v>
      </c>
      <c r="K64" s="28">
        <f t="shared" si="1"/>
        <v>0.13243114825644775</v>
      </c>
      <c r="L64" s="29">
        <f t="shared" si="3"/>
        <v>0</v>
      </c>
    </row>
    <row r="65" spans="2:12" x14ac:dyDescent="0.25">
      <c r="B65" s="19" t="s">
        <v>65</v>
      </c>
      <c r="C65" s="30">
        <v>1447.1916421351002</v>
      </c>
      <c r="D65" s="31">
        <v>0.1392225</v>
      </c>
      <c r="E65" s="22">
        <v>1447.1916000000001</v>
      </c>
      <c r="F65" s="23">
        <v>0.15276610500000001</v>
      </c>
      <c r="G65" s="24">
        <f t="shared" si="0"/>
        <v>-2.911507976935965E-8</v>
      </c>
      <c r="H65" s="25">
        <f t="shared" si="2"/>
        <v>1</v>
      </c>
      <c r="I65" s="26">
        <v>1447.1916000000001</v>
      </c>
      <c r="J65" s="27">
        <v>3.4682620000000002E-3</v>
      </c>
      <c r="K65" s="28">
        <f t="shared" si="1"/>
        <v>-2.911507976935965E-8</v>
      </c>
      <c r="L65" s="29">
        <f t="shared" si="3"/>
        <v>1</v>
      </c>
    </row>
    <row r="66" spans="2:12" x14ac:dyDescent="0.25">
      <c r="B66" s="19" t="s">
        <v>66</v>
      </c>
      <c r="C66" s="30">
        <v>3009.5669790856</v>
      </c>
      <c r="D66" s="31">
        <v>0.1520687</v>
      </c>
      <c r="E66" s="22">
        <v>3009.567</v>
      </c>
      <c r="F66" s="23">
        <v>0.15323214099999999</v>
      </c>
      <c r="G66" s="24">
        <f t="shared" si="0"/>
        <v>6.949305383894875E-9</v>
      </c>
      <c r="H66" s="25">
        <f t="shared" si="2"/>
        <v>1</v>
      </c>
      <c r="I66" s="26">
        <v>3556.2305000000001</v>
      </c>
      <c r="J66" s="27">
        <v>4.2430130000000003E-3</v>
      </c>
      <c r="K66" s="28">
        <f t="shared" si="1"/>
        <v>0.18164191882531006</v>
      </c>
      <c r="L66" s="29">
        <f t="shared" si="3"/>
        <v>0</v>
      </c>
    </row>
    <row r="67" spans="2:12" x14ac:dyDescent="0.25">
      <c r="B67" s="19" t="s">
        <v>67</v>
      </c>
      <c r="C67" s="30">
        <v>2346.8504945188038</v>
      </c>
      <c r="D67" s="31">
        <v>0.27603179999999999</v>
      </c>
      <c r="E67" s="22">
        <v>2346.8505</v>
      </c>
      <c r="F67" s="23">
        <v>0.180822069</v>
      </c>
      <c r="G67" s="24">
        <f t="shared" si="0"/>
        <v>2.3355540767508319E-9</v>
      </c>
      <c r="H67" s="25">
        <f t="shared" si="2"/>
        <v>1</v>
      </c>
      <c r="I67" s="26">
        <v>2629.4250999999999</v>
      </c>
      <c r="J67" s="27">
        <v>2.7401280000000001E-3</v>
      </c>
      <c r="K67" s="28">
        <f t="shared" si="1"/>
        <v>0.12040588275272091</v>
      </c>
      <c r="L67" s="29">
        <f t="shared" si="3"/>
        <v>0</v>
      </c>
    </row>
    <row r="68" spans="2:12" x14ac:dyDescent="0.25">
      <c r="B68" s="19" t="s">
        <v>68</v>
      </c>
      <c r="C68" s="30">
        <v>1860.9146192605999</v>
      </c>
      <c r="D68" s="31">
        <v>0.2259256</v>
      </c>
      <c r="E68" s="22">
        <v>1860.9146000000001</v>
      </c>
      <c r="F68" s="23">
        <v>0.15173418499999999</v>
      </c>
      <c r="G68" s="24">
        <f t="shared" si="0"/>
        <v>-1.0350071764176394E-8</v>
      </c>
      <c r="H68" s="25">
        <f t="shared" si="2"/>
        <v>1</v>
      </c>
      <c r="I68" s="26">
        <v>2031.0205000000001</v>
      </c>
      <c r="J68" s="27">
        <v>2.5975099999999999E-3</v>
      </c>
      <c r="K68" s="28">
        <f t="shared" si="1"/>
        <v>9.1409825565768613E-2</v>
      </c>
      <c r="L68" s="29">
        <f t="shared" si="3"/>
        <v>0</v>
      </c>
    </row>
    <row r="69" spans="2:12" x14ac:dyDescent="0.25">
      <c r="B69" s="19" t="s">
        <v>69</v>
      </c>
      <c r="C69" s="30">
        <v>1545.7630596491451</v>
      </c>
      <c r="D69" s="31">
        <v>0.22510630000000001</v>
      </c>
      <c r="E69" s="22">
        <v>1545.7630999999999</v>
      </c>
      <c r="F69" s="23">
        <v>0.15406486599999999</v>
      </c>
      <c r="G69" s="24">
        <f t="shared" ref="G69:G124" si="4">(E69-C69)/C69</f>
        <v>2.6104165517952488E-8</v>
      </c>
      <c r="H69" s="25">
        <f t="shared" si="2"/>
        <v>1</v>
      </c>
      <c r="I69" s="26">
        <v>1545.7630999999999</v>
      </c>
      <c r="J69" s="27">
        <v>2.7946310000000001E-3</v>
      </c>
      <c r="K69" s="28">
        <f t="shared" ref="K69:K124" si="5">(I69-C69)/C69</f>
        <v>2.6104165517952488E-8</v>
      </c>
      <c r="L69" s="29">
        <f t="shared" si="3"/>
        <v>1</v>
      </c>
    </row>
    <row r="70" spans="2:12" x14ac:dyDescent="0.25">
      <c r="B70" s="19" t="s">
        <v>70</v>
      </c>
      <c r="C70" s="30">
        <v>1952.2134868598002</v>
      </c>
      <c r="D70" s="31">
        <v>0.24656259999999999</v>
      </c>
      <c r="E70" s="22">
        <v>1952.2135000000001</v>
      </c>
      <c r="F70" s="23">
        <v>0.149806772</v>
      </c>
      <c r="G70" s="24">
        <f t="shared" si="4"/>
        <v>6.73092359747402E-9</v>
      </c>
      <c r="H70" s="25">
        <f t="shared" ref="H70:H124" si="6">IF(G70&lt;0.000001,1,0)</f>
        <v>1</v>
      </c>
      <c r="I70" s="26">
        <v>1952.2135000000001</v>
      </c>
      <c r="J70" s="27">
        <v>2.768801E-3</v>
      </c>
      <c r="K70" s="28">
        <f t="shared" si="5"/>
        <v>6.73092359747402E-9</v>
      </c>
      <c r="L70" s="29">
        <f t="shared" ref="L70:L124" si="7">IF(K70&lt;0.000001,1,0)</f>
        <v>1</v>
      </c>
    </row>
    <row r="71" spans="2:12" x14ac:dyDescent="0.25">
      <c r="B71" s="19" t="s">
        <v>71</v>
      </c>
      <c r="C71" s="30">
        <v>3985.596855742901</v>
      </c>
      <c r="D71" s="31">
        <v>0.25618220000000003</v>
      </c>
      <c r="E71" s="22">
        <v>3985.5969</v>
      </c>
      <c r="F71" s="23">
        <v>0.18643456899999999</v>
      </c>
      <c r="G71" s="24">
        <f t="shared" si="4"/>
        <v>1.1104258819019453E-8</v>
      </c>
      <c r="H71" s="25">
        <f t="shared" si="6"/>
        <v>1</v>
      </c>
      <c r="I71" s="26">
        <v>4405.3197</v>
      </c>
      <c r="J71" s="27">
        <v>2.7880180000000002E-3</v>
      </c>
      <c r="K71" s="28">
        <f t="shared" si="5"/>
        <v>0.10530990951890046</v>
      </c>
      <c r="L71" s="29">
        <f t="shared" si="7"/>
        <v>0</v>
      </c>
    </row>
    <row r="72" spans="2:12" x14ac:dyDescent="0.25">
      <c r="B72" s="19" t="s">
        <v>72</v>
      </c>
      <c r="C72" s="30">
        <v>2597.7707533215998</v>
      </c>
      <c r="D72" s="31">
        <v>0.24630170000000001</v>
      </c>
      <c r="E72" s="22">
        <v>2597.7707999999998</v>
      </c>
      <c r="F72" s="23">
        <v>0.168717216</v>
      </c>
      <c r="G72" s="24">
        <f t="shared" si="4"/>
        <v>1.7968637101756424E-8</v>
      </c>
      <c r="H72" s="25">
        <f t="shared" si="6"/>
        <v>1</v>
      </c>
      <c r="I72" s="26">
        <v>2844.4317000000001</v>
      </c>
      <c r="J72" s="27">
        <v>2.8674690000000001E-3</v>
      </c>
      <c r="K72" s="28">
        <f t="shared" si="5"/>
        <v>9.495100611284156E-2</v>
      </c>
      <c r="L72" s="29">
        <f t="shared" si="7"/>
        <v>0</v>
      </c>
    </row>
    <row r="73" spans="2:12" x14ac:dyDescent="0.25">
      <c r="B73" s="19" t="s">
        <v>73</v>
      </c>
      <c r="C73" s="30">
        <v>3442.4442156549303</v>
      </c>
      <c r="D73" s="31">
        <v>0.18770629999999999</v>
      </c>
      <c r="E73" s="22">
        <v>3442.4441999999999</v>
      </c>
      <c r="F73" s="23">
        <v>0.154804365</v>
      </c>
      <c r="G73" s="24">
        <f t="shared" si="4"/>
        <v>-4.547620647736552E-9</v>
      </c>
      <c r="H73" s="25">
        <f t="shared" si="6"/>
        <v>1</v>
      </c>
      <c r="I73" s="26">
        <v>3442.4441999999999</v>
      </c>
      <c r="J73" s="27">
        <v>2.8295170000000001E-3</v>
      </c>
      <c r="K73" s="28">
        <f t="shared" si="5"/>
        <v>-4.547620647736552E-9</v>
      </c>
      <c r="L73" s="29">
        <f t="shared" si="7"/>
        <v>1</v>
      </c>
    </row>
    <row r="74" spans="2:12" x14ac:dyDescent="0.25">
      <c r="B74" s="19" t="s">
        <v>74</v>
      </c>
      <c r="C74" s="30">
        <v>4017.1514150204998</v>
      </c>
      <c r="D74" s="31">
        <v>0.14994109999999999</v>
      </c>
      <c r="E74" s="22">
        <v>4017.1514000000002</v>
      </c>
      <c r="F74" s="23">
        <v>0.21205565700000001</v>
      </c>
      <c r="G74" s="24">
        <f t="shared" si="4"/>
        <v>-3.7390922272640897E-9</v>
      </c>
      <c r="H74" s="25">
        <f t="shared" si="6"/>
        <v>1</v>
      </c>
      <c r="I74" s="26">
        <v>4654.2308000000003</v>
      </c>
      <c r="J74" s="27">
        <v>3.2098740000000001E-3</v>
      </c>
      <c r="K74" s="28">
        <f t="shared" si="5"/>
        <v>0.15858983622011405</v>
      </c>
      <c r="L74" s="29">
        <f t="shared" si="7"/>
        <v>0</v>
      </c>
    </row>
    <row r="75" spans="2:12" x14ac:dyDescent="0.25">
      <c r="B75" s="19" t="s">
        <v>75</v>
      </c>
      <c r="C75" s="30">
        <v>1643.6236489360601</v>
      </c>
      <c r="D75" s="31">
        <v>0.21973110000000001</v>
      </c>
      <c r="E75" s="22">
        <v>1643.6235999999999</v>
      </c>
      <c r="F75" s="23">
        <v>0.19329075600000001</v>
      </c>
      <c r="G75" s="24">
        <f t="shared" si="4"/>
        <v>-2.9773275816747535E-8</v>
      </c>
      <c r="H75" s="25">
        <f t="shared" si="6"/>
        <v>1</v>
      </c>
      <c r="I75" s="26">
        <v>1643.6235999999999</v>
      </c>
      <c r="J75" s="27">
        <v>4.3962910000000001E-3</v>
      </c>
      <c r="K75" s="28">
        <f t="shared" si="5"/>
        <v>-2.9773275816747535E-8</v>
      </c>
      <c r="L75" s="29">
        <f t="shared" si="7"/>
        <v>1</v>
      </c>
    </row>
    <row r="76" spans="2:12" x14ac:dyDescent="0.25">
      <c r="B76" s="19" t="s">
        <v>76</v>
      </c>
      <c r="C76" s="30">
        <v>1584.3336185527951</v>
      </c>
      <c r="D76" s="31">
        <v>0.4212418</v>
      </c>
      <c r="E76" s="22">
        <v>1584.3335999999999</v>
      </c>
      <c r="F76" s="23">
        <v>0.21428507699999999</v>
      </c>
      <c r="G76" s="24">
        <f t="shared" si="4"/>
        <v>-1.1710156836373127E-8</v>
      </c>
      <c r="H76" s="25">
        <f t="shared" si="6"/>
        <v>1</v>
      </c>
      <c r="I76" s="26">
        <v>1792.3142</v>
      </c>
      <c r="J76" s="27">
        <v>3.9940419999999997E-3</v>
      </c>
      <c r="K76" s="28">
        <f t="shared" si="5"/>
        <v>0.13127322365171054</v>
      </c>
      <c r="L76" s="29">
        <f t="shared" si="7"/>
        <v>0</v>
      </c>
    </row>
    <row r="77" spans="2:12" x14ac:dyDescent="0.25">
      <c r="B77" s="19" t="s">
        <v>77</v>
      </c>
      <c r="C77" s="30">
        <v>2300.9193373828284</v>
      </c>
      <c r="D77" s="31">
        <v>0.50325120000000001</v>
      </c>
      <c r="E77" s="22">
        <v>2300.9193</v>
      </c>
      <c r="F77" s="23">
        <v>0.210485745</v>
      </c>
      <c r="G77" s="24">
        <f t="shared" si="4"/>
        <v>-1.6246909567031808E-8</v>
      </c>
      <c r="H77" s="25">
        <f t="shared" si="6"/>
        <v>1</v>
      </c>
      <c r="I77" s="26">
        <v>2300.9193</v>
      </c>
      <c r="J77" s="27">
        <v>3.8656710000000002E-3</v>
      </c>
      <c r="K77" s="28">
        <f t="shared" si="5"/>
        <v>-1.6246909567031808E-8</v>
      </c>
      <c r="L77" s="29">
        <f t="shared" si="7"/>
        <v>1</v>
      </c>
    </row>
    <row r="78" spans="2:12" x14ac:dyDescent="0.25">
      <c r="B78" s="19" t="s">
        <v>78</v>
      </c>
      <c r="C78" s="30">
        <v>1554.8770953730502</v>
      </c>
      <c r="D78" s="31">
        <v>0.2027188</v>
      </c>
      <c r="E78" s="22">
        <v>1554.8770999999999</v>
      </c>
      <c r="F78" s="23">
        <v>0.216487608</v>
      </c>
      <c r="G78" s="24">
        <f t="shared" si="4"/>
        <v>2.9757655554563035E-9</v>
      </c>
      <c r="H78" s="25">
        <f t="shared" si="6"/>
        <v>1</v>
      </c>
      <c r="I78" s="26">
        <v>1842.4629</v>
      </c>
      <c r="J78" s="27">
        <v>4.1434649999999998E-3</v>
      </c>
      <c r="K78" s="28">
        <f t="shared" si="5"/>
        <v>0.18495725834713092</v>
      </c>
      <c r="L78" s="29">
        <f t="shared" si="7"/>
        <v>0</v>
      </c>
    </row>
    <row r="79" spans="2:12" x14ac:dyDescent="0.25">
      <c r="B79" s="19" t="s">
        <v>79</v>
      </c>
      <c r="C79" s="30">
        <v>821.52311997619995</v>
      </c>
      <c r="D79" s="31">
        <v>0.1971435</v>
      </c>
      <c r="E79" s="22">
        <v>821.5231</v>
      </c>
      <c r="F79" s="23">
        <v>0.18869509700000001</v>
      </c>
      <c r="G79" s="24">
        <f t="shared" si="4"/>
        <v>-2.4316053273907947E-8</v>
      </c>
      <c r="H79" s="25">
        <f t="shared" si="6"/>
        <v>1</v>
      </c>
      <c r="I79" s="26">
        <v>895.45579999999995</v>
      </c>
      <c r="J79" s="27">
        <v>3.695851E-3</v>
      </c>
      <c r="K79" s="28">
        <f t="shared" si="5"/>
        <v>8.999464315251636E-2</v>
      </c>
      <c r="L79" s="29">
        <f t="shared" si="7"/>
        <v>0</v>
      </c>
    </row>
    <row r="80" spans="2:12" x14ac:dyDescent="0.25">
      <c r="B80" s="19" t="s">
        <v>80</v>
      </c>
      <c r="C80" s="30">
        <v>2498.6768453179502</v>
      </c>
      <c r="D80" s="31">
        <v>0.17591899999999999</v>
      </c>
      <c r="E80" s="22">
        <v>2498.6768000000002</v>
      </c>
      <c r="F80" s="23">
        <v>0.18052338800000001</v>
      </c>
      <c r="G80" s="24">
        <f t="shared" si="4"/>
        <v>-1.8136779115878545E-8</v>
      </c>
      <c r="H80" s="25">
        <f t="shared" si="6"/>
        <v>1</v>
      </c>
      <c r="I80" s="26">
        <v>2809.5315999999998</v>
      </c>
      <c r="J80" s="27">
        <v>4.7637139999999996E-3</v>
      </c>
      <c r="K80" s="28">
        <f t="shared" si="5"/>
        <v>0.12440774614954024</v>
      </c>
      <c r="L80" s="29">
        <f t="shared" si="7"/>
        <v>0</v>
      </c>
    </row>
    <row r="81" spans="2:12" x14ac:dyDescent="0.25">
      <c r="B81" s="19" t="s">
        <v>81</v>
      </c>
      <c r="C81" s="30">
        <v>2707.4987597521499</v>
      </c>
      <c r="D81" s="31">
        <v>0.16334660000000001</v>
      </c>
      <c r="E81" s="22">
        <v>2707.4987999999998</v>
      </c>
      <c r="F81" s="23">
        <v>0.200695083</v>
      </c>
      <c r="G81" s="24">
        <f t="shared" si="4"/>
        <v>1.4865325346207372E-8</v>
      </c>
      <c r="H81" s="25">
        <f t="shared" si="6"/>
        <v>1</v>
      </c>
      <c r="I81" s="26">
        <v>2801.7053000000001</v>
      </c>
      <c r="J81" s="27">
        <v>1.4484319999999999E-3</v>
      </c>
      <c r="K81" s="28">
        <f t="shared" si="5"/>
        <v>3.4794675310017148E-2</v>
      </c>
      <c r="L81" s="29">
        <f t="shared" si="7"/>
        <v>0</v>
      </c>
    </row>
    <row r="82" spans="2:12" x14ac:dyDescent="0.25">
      <c r="B82" s="19" t="s">
        <v>82</v>
      </c>
      <c r="C82" s="30">
        <v>1407.5309875769115</v>
      </c>
      <c r="D82" s="31">
        <v>0.14593970000000001</v>
      </c>
      <c r="E82" s="22">
        <v>1407.5309999999999</v>
      </c>
      <c r="F82" s="23">
        <v>0.19462602600000001</v>
      </c>
      <c r="G82" s="24">
        <f t="shared" si="4"/>
        <v>8.8261562990724949E-9</v>
      </c>
      <c r="H82" s="25">
        <f t="shared" si="6"/>
        <v>1</v>
      </c>
      <c r="I82" s="26">
        <v>1592.0455999999999</v>
      </c>
      <c r="J82" s="27">
        <v>1.499238E-3</v>
      </c>
      <c r="K82" s="28">
        <f t="shared" si="5"/>
        <v>0.13109097707378614</v>
      </c>
      <c r="L82" s="29">
        <f t="shared" si="7"/>
        <v>0</v>
      </c>
    </row>
    <row r="83" spans="2:12" x14ac:dyDescent="0.25">
      <c r="B83" s="19" t="s">
        <v>83</v>
      </c>
      <c r="C83" s="30">
        <v>1716.8893526622501</v>
      </c>
      <c r="D83" s="31">
        <v>0.21097250000000001</v>
      </c>
      <c r="E83" s="22">
        <v>1716.8217999999999</v>
      </c>
      <c r="F83" s="23">
        <v>0.271270028</v>
      </c>
      <c r="G83" s="24">
        <f t="shared" si="4"/>
        <v>-3.9345961430413543E-5</v>
      </c>
      <c r="H83" s="25">
        <f t="shared" si="6"/>
        <v>1</v>
      </c>
      <c r="I83" s="26">
        <v>2090.3000000000002</v>
      </c>
      <c r="J83" s="27">
        <v>1.830473E-3</v>
      </c>
      <c r="K83" s="28">
        <f t="shared" si="5"/>
        <v>0.21749255230614048</v>
      </c>
      <c r="L83" s="29">
        <f t="shared" si="7"/>
        <v>0</v>
      </c>
    </row>
    <row r="84" spans="2:12" x14ac:dyDescent="0.25">
      <c r="B84" s="19" t="s">
        <v>84</v>
      </c>
      <c r="C84" s="30">
        <v>2140.4685276380696</v>
      </c>
      <c r="D84" s="31">
        <v>0.18054590000000001</v>
      </c>
      <c r="E84" s="22">
        <v>2140.4684999999999</v>
      </c>
      <c r="F84" s="23">
        <v>0.43827686999999999</v>
      </c>
      <c r="G84" s="24">
        <f t="shared" si="4"/>
        <v>-1.2912158875078315E-8</v>
      </c>
      <c r="H84" s="25">
        <f t="shared" si="6"/>
        <v>1</v>
      </c>
      <c r="I84" s="26">
        <v>2465.1694000000002</v>
      </c>
      <c r="J84" s="27">
        <v>1.7482579999999999E-3</v>
      </c>
      <c r="K84" s="28">
        <f t="shared" si="5"/>
        <v>0.15169616753030532</v>
      </c>
      <c r="L84" s="29">
        <f t="shared" si="7"/>
        <v>0</v>
      </c>
    </row>
    <row r="85" spans="2:12" x14ac:dyDescent="0.25">
      <c r="B85" s="19" t="s">
        <v>85</v>
      </c>
      <c r="C85" s="30">
        <v>2651.1935942934742</v>
      </c>
      <c r="D85" s="31">
        <v>0.2039957</v>
      </c>
      <c r="E85" s="22">
        <v>2651.1936000000001</v>
      </c>
      <c r="F85" s="23">
        <v>9.0769794000000001E-2</v>
      </c>
      <c r="G85" s="24">
        <f t="shared" si="4"/>
        <v>2.1524364868646446E-9</v>
      </c>
      <c r="H85" s="25">
        <f t="shared" si="6"/>
        <v>1</v>
      </c>
      <c r="I85" s="26">
        <v>2863.6125000000002</v>
      </c>
      <c r="J85" s="27">
        <v>9.2142700000000005E-4</v>
      </c>
      <c r="K85" s="28">
        <f t="shared" si="5"/>
        <v>8.0121989644115071E-2</v>
      </c>
      <c r="L85" s="29">
        <f t="shared" si="7"/>
        <v>0</v>
      </c>
    </row>
    <row r="86" spans="2:12" x14ac:dyDescent="0.25">
      <c r="B86" s="19" t="s">
        <v>86</v>
      </c>
      <c r="C86" s="30">
        <v>1830.8765672645056</v>
      </c>
      <c r="D86" s="31">
        <v>0.221167</v>
      </c>
      <c r="E86" s="22">
        <v>1830.8766000000001</v>
      </c>
      <c r="F86" s="23">
        <v>0.160453965</v>
      </c>
      <c r="G86" s="24">
        <f t="shared" si="4"/>
        <v>1.7879683972168099E-8</v>
      </c>
      <c r="H86" s="25">
        <f t="shared" si="6"/>
        <v>1</v>
      </c>
      <c r="I86" s="26">
        <v>2455.8211999999999</v>
      </c>
      <c r="J86" s="27">
        <v>1.2183280000000001E-3</v>
      </c>
      <c r="K86" s="28">
        <f t="shared" si="5"/>
        <v>0.34133629973167318</v>
      </c>
      <c r="L86" s="29">
        <f t="shared" si="7"/>
        <v>0</v>
      </c>
    </row>
    <row r="87" spans="2:12" x14ac:dyDescent="0.25">
      <c r="B87" s="19" t="s">
        <v>87</v>
      </c>
      <c r="C87" s="30">
        <v>2542.5131219248296</v>
      </c>
      <c r="D87" s="31">
        <v>0.28105160000000001</v>
      </c>
      <c r="E87" s="22">
        <v>2542.5131000000001</v>
      </c>
      <c r="F87" s="23">
        <v>0.15511677400000001</v>
      </c>
      <c r="G87" s="24">
        <f t="shared" si="4"/>
        <v>-8.6232906080871733E-9</v>
      </c>
      <c r="H87" s="25">
        <f t="shared" si="6"/>
        <v>1</v>
      </c>
      <c r="I87" s="26">
        <v>2775.9755</v>
      </c>
      <c r="J87" s="27">
        <v>9.1675899999999996E-4</v>
      </c>
      <c r="K87" s="28">
        <f t="shared" si="5"/>
        <v>9.1823470275121263E-2</v>
      </c>
      <c r="L87" s="29">
        <f t="shared" si="7"/>
        <v>0</v>
      </c>
    </row>
    <row r="88" spans="2:12" x14ac:dyDescent="0.25">
      <c r="B88" s="19" t="s">
        <v>88</v>
      </c>
      <c r="C88" s="30">
        <v>2189.2533127627898</v>
      </c>
      <c r="D88" s="31">
        <v>0.15971250000000001</v>
      </c>
      <c r="E88" s="22">
        <v>2189.2532999999999</v>
      </c>
      <c r="F88" s="23">
        <v>0.17375564700000001</v>
      </c>
      <c r="G88" s="24">
        <f t="shared" si="4"/>
        <v>-5.8297456573182248E-9</v>
      </c>
      <c r="H88" s="25">
        <f t="shared" si="6"/>
        <v>1</v>
      </c>
      <c r="I88" s="26">
        <v>2189.2532999999999</v>
      </c>
      <c r="J88" s="27">
        <v>1.106066E-3</v>
      </c>
      <c r="K88" s="28">
        <f t="shared" si="5"/>
        <v>-5.8297456573182248E-9</v>
      </c>
      <c r="L88" s="29">
        <f t="shared" si="7"/>
        <v>1</v>
      </c>
    </row>
    <row r="89" spans="2:12" x14ac:dyDescent="0.25">
      <c r="B89" s="19" t="s">
        <v>89</v>
      </c>
      <c r="C89" s="30">
        <v>1488.403971103068</v>
      </c>
      <c r="D89" s="31">
        <v>0.1790609</v>
      </c>
      <c r="E89" s="22">
        <v>1488.404</v>
      </c>
      <c r="F89" s="23">
        <v>0.20904134999999999</v>
      </c>
      <c r="G89" s="24">
        <f t="shared" si="4"/>
        <v>1.9414710367053151E-8</v>
      </c>
      <c r="H89" s="25">
        <f t="shared" si="6"/>
        <v>1</v>
      </c>
      <c r="I89" s="26">
        <v>1556.3552999999999</v>
      </c>
      <c r="J89" s="27">
        <v>1.0399020000000001E-3</v>
      </c>
      <c r="K89" s="28">
        <f t="shared" si="5"/>
        <v>4.5653821285207057E-2</v>
      </c>
      <c r="L89" s="29">
        <f t="shared" si="7"/>
        <v>0</v>
      </c>
    </row>
    <row r="90" spans="2:12" x14ac:dyDescent="0.25">
      <c r="B90" s="19" t="s">
        <v>90</v>
      </c>
      <c r="C90" s="30">
        <v>1884.101212640415</v>
      </c>
      <c r="D90" s="31">
        <v>0.1829385</v>
      </c>
      <c r="E90" s="22">
        <v>1884.1012000000001</v>
      </c>
      <c r="F90" s="23">
        <v>0.21601927700000001</v>
      </c>
      <c r="G90" s="24">
        <f t="shared" si="4"/>
        <v>-6.7089893551418703E-9</v>
      </c>
      <c r="H90" s="25">
        <f t="shared" si="6"/>
        <v>1</v>
      </c>
      <c r="I90" s="26">
        <v>1884.1012000000001</v>
      </c>
      <c r="J90" s="27">
        <v>1.02841E-3</v>
      </c>
      <c r="K90" s="28">
        <f t="shared" si="5"/>
        <v>-6.7089893551418703E-9</v>
      </c>
      <c r="L90" s="29">
        <f t="shared" si="7"/>
        <v>1</v>
      </c>
    </row>
    <row r="91" spans="2:12" x14ac:dyDescent="0.25">
      <c r="B91" s="19" t="s">
        <v>91</v>
      </c>
      <c r="C91" s="30">
        <v>1752.2665464299623</v>
      </c>
      <c r="D91" s="31">
        <v>0.2205434</v>
      </c>
      <c r="E91" s="22">
        <v>1752.2665</v>
      </c>
      <c r="F91" s="23">
        <v>0.209538525</v>
      </c>
      <c r="G91" s="24">
        <f t="shared" si="4"/>
        <v>-2.6497088848640947E-8</v>
      </c>
      <c r="H91" s="25">
        <f t="shared" si="6"/>
        <v>1</v>
      </c>
      <c r="I91" s="26">
        <v>1752.2665</v>
      </c>
      <c r="J91" s="27">
        <v>1.056984E-3</v>
      </c>
      <c r="K91" s="28">
        <f t="shared" si="5"/>
        <v>-2.6497088848640947E-8</v>
      </c>
      <c r="L91" s="29">
        <f t="shared" si="7"/>
        <v>1</v>
      </c>
    </row>
    <row r="92" spans="2:12" x14ac:dyDescent="0.25">
      <c r="B92" s="19" t="s">
        <v>92</v>
      </c>
      <c r="C92" s="30">
        <v>1459.7077695229104</v>
      </c>
      <c r="D92" s="31">
        <v>0.18429590000000001</v>
      </c>
      <c r="E92" s="22">
        <v>1459.7077999999999</v>
      </c>
      <c r="F92" s="23">
        <v>0.13651400599999999</v>
      </c>
      <c r="G92" s="24">
        <f t="shared" si="4"/>
        <v>2.0878897888720049E-8</v>
      </c>
      <c r="H92" s="25">
        <f t="shared" si="6"/>
        <v>1</v>
      </c>
      <c r="I92" s="26">
        <v>1775.9899</v>
      </c>
      <c r="J92" s="27">
        <v>9.7823399999999992E-4</v>
      </c>
      <c r="K92" s="28">
        <f t="shared" si="5"/>
        <v>0.21667496541479872</v>
      </c>
      <c r="L92" s="29">
        <f t="shared" si="7"/>
        <v>0</v>
      </c>
    </row>
    <row r="93" spans="2:12" x14ac:dyDescent="0.25">
      <c r="B93" s="19" t="s">
        <v>93</v>
      </c>
      <c r="C93" s="30">
        <v>5582.2876733633002</v>
      </c>
      <c r="D93" s="31">
        <v>0.26967410000000003</v>
      </c>
      <c r="E93" s="22">
        <v>5582.2876999999999</v>
      </c>
      <c r="F93" s="23">
        <v>7.9755890999999995E-2</v>
      </c>
      <c r="G93" s="24">
        <f t="shared" si="4"/>
        <v>4.7716458228249299E-9</v>
      </c>
      <c r="H93" s="25">
        <f t="shared" si="6"/>
        <v>1</v>
      </c>
      <c r="I93" s="26">
        <v>5969.6048000000001</v>
      </c>
      <c r="J93" s="27">
        <v>2.0877080000000002E-3</v>
      </c>
      <c r="K93" s="28">
        <f t="shared" si="5"/>
        <v>6.9383225892287861E-2</v>
      </c>
      <c r="L93" s="29">
        <f t="shared" si="7"/>
        <v>0</v>
      </c>
    </row>
    <row r="94" spans="2:12" x14ac:dyDescent="0.25">
      <c r="B94" s="19" t="s">
        <v>94</v>
      </c>
      <c r="C94" s="30">
        <v>3253.6752216579002</v>
      </c>
      <c r="D94" s="31">
        <v>0.21585869999999999</v>
      </c>
      <c r="E94" s="22">
        <v>3253.6752000000001</v>
      </c>
      <c r="F94" s="23">
        <v>7.1868306000000007E-2</v>
      </c>
      <c r="G94" s="24">
        <f t="shared" si="4"/>
        <v>-6.6564419097688314E-9</v>
      </c>
      <c r="H94" s="25">
        <f t="shared" si="6"/>
        <v>1</v>
      </c>
      <c r="I94" s="26">
        <v>3253.6752000000001</v>
      </c>
      <c r="J94" s="27">
        <v>9.2809999999999995E-4</v>
      </c>
      <c r="K94" s="28">
        <f t="shared" si="5"/>
        <v>-6.6564419097688314E-9</v>
      </c>
      <c r="L94" s="29">
        <f t="shared" si="7"/>
        <v>1</v>
      </c>
    </row>
    <row r="95" spans="2:12" x14ac:dyDescent="0.25">
      <c r="B95" s="19" t="s">
        <v>95</v>
      </c>
      <c r="C95" s="30">
        <v>887.64235147453621</v>
      </c>
      <c r="D95" s="31">
        <v>0.24102770000000001</v>
      </c>
      <c r="E95" s="22">
        <v>887.64239999999995</v>
      </c>
      <c r="F95" s="23">
        <v>0.11874098900000001</v>
      </c>
      <c r="G95" s="24">
        <f t="shared" si="4"/>
        <v>5.4667810361988234E-8</v>
      </c>
      <c r="H95" s="25">
        <f t="shared" si="6"/>
        <v>1</v>
      </c>
      <c r="I95" s="26">
        <v>901.24350000000004</v>
      </c>
      <c r="J95" s="27">
        <v>2.0053419999999998E-3</v>
      </c>
      <c r="K95" s="28">
        <f t="shared" si="5"/>
        <v>1.5322780062116046E-2</v>
      </c>
      <c r="L95" s="29">
        <f t="shared" si="7"/>
        <v>0</v>
      </c>
    </row>
    <row r="96" spans="2:12" x14ac:dyDescent="0.25">
      <c r="B96" s="19" t="s">
        <v>96</v>
      </c>
      <c r="C96" s="30">
        <v>2404.2966986450901</v>
      </c>
      <c r="D96" s="31">
        <v>0.3559023</v>
      </c>
      <c r="E96" s="22">
        <v>2404.2966999999999</v>
      </c>
      <c r="F96" s="23">
        <v>9.1562563999999999E-2</v>
      </c>
      <c r="G96" s="24">
        <f t="shared" si="4"/>
        <v>5.6353682483864903E-10</v>
      </c>
      <c r="H96" s="25">
        <f t="shared" si="6"/>
        <v>1</v>
      </c>
      <c r="I96" s="26">
        <v>2611.4708000000001</v>
      </c>
      <c r="J96" s="27">
        <v>1.011798E-3</v>
      </c>
      <c r="K96" s="28">
        <f t="shared" si="5"/>
        <v>8.616827593352358E-2</v>
      </c>
      <c r="L96" s="29">
        <f t="shared" si="7"/>
        <v>0</v>
      </c>
    </row>
    <row r="97" spans="2:12" x14ac:dyDescent="0.25">
      <c r="B97" s="19" t="s">
        <v>97</v>
      </c>
      <c r="C97" s="30">
        <v>1743.6788569597848</v>
      </c>
      <c r="D97" s="31">
        <v>0.25299690000000002</v>
      </c>
      <c r="E97" s="22">
        <v>1743.6789000000001</v>
      </c>
      <c r="F97" s="23">
        <v>0.103863725</v>
      </c>
      <c r="G97" s="24">
        <f t="shared" si="4"/>
        <v>2.4683567841596474E-8</v>
      </c>
      <c r="H97" s="25">
        <f t="shared" si="6"/>
        <v>1</v>
      </c>
      <c r="I97" s="26">
        <v>1915.4172000000001</v>
      </c>
      <c r="J97" s="27">
        <v>1.223357E-3</v>
      </c>
      <c r="K97" s="28">
        <f t="shared" si="5"/>
        <v>9.8491957022207685E-2</v>
      </c>
      <c r="L97" s="29">
        <f t="shared" si="7"/>
        <v>0</v>
      </c>
    </row>
    <row r="98" spans="2:12" x14ac:dyDescent="0.25">
      <c r="B98" s="19" t="s">
        <v>98</v>
      </c>
      <c r="C98" s="30">
        <v>1177.7336987001152</v>
      </c>
      <c r="D98" s="31">
        <v>0.21445049999999999</v>
      </c>
      <c r="E98" s="22">
        <v>1177.7337</v>
      </c>
      <c r="F98" s="23">
        <v>0.112650471</v>
      </c>
      <c r="G98" s="24">
        <f t="shared" si="4"/>
        <v>1.1037171176765956E-9</v>
      </c>
      <c r="H98" s="25">
        <f t="shared" si="6"/>
        <v>1</v>
      </c>
      <c r="I98" s="26">
        <v>1186.1514</v>
      </c>
      <c r="J98" s="27">
        <v>1.326011E-3</v>
      </c>
      <c r="K98" s="28">
        <f t="shared" si="5"/>
        <v>7.1473723721886982E-3</v>
      </c>
      <c r="L98" s="29">
        <f t="shared" si="7"/>
        <v>0</v>
      </c>
    </row>
    <row r="99" spans="2:12" x14ac:dyDescent="0.25">
      <c r="B99" s="19" t="s">
        <v>99</v>
      </c>
      <c r="C99" s="30">
        <v>979.62747294212681</v>
      </c>
      <c r="D99" s="31">
        <v>0.22964200000000001</v>
      </c>
      <c r="E99" s="22">
        <v>979.62750000000005</v>
      </c>
      <c r="F99" s="23">
        <v>0.117154668</v>
      </c>
      <c r="G99" s="24">
        <f t="shared" si="4"/>
        <v>2.7620574133646995E-8</v>
      </c>
      <c r="H99" s="25">
        <f t="shared" si="6"/>
        <v>1</v>
      </c>
      <c r="I99" s="26">
        <v>1221.8396</v>
      </c>
      <c r="J99" s="27">
        <v>1.2873680000000001E-3</v>
      </c>
      <c r="K99" s="28">
        <f t="shared" si="5"/>
        <v>0.24724921845080014</v>
      </c>
      <c r="L99" s="29">
        <f t="shared" si="7"/>
        <v>0</v>
      </c>
    </row>
    <row r="100" spans="2:12" x14ac:dyDescent="0.25">
      <c r="B100" s="19" t="s">
        <v>100</v>
      </c>
      <c r="C100" s="30">
        <v>1294.03858373191</v>
      </c>
      <c r="D100" s="31">
        <v>0.16341149999999999</v>
      </c>
      <c r="E100" s="22">
        <v>1294.0386000000001</v>
      </c>
      <c r="F100" s="23">
        <v>0.110263394</v>
      </c>
      <c r="G100" s="24">
        <f t="shared" si="4"/>
        <v>1.2571564963939338E-8</v>
      </c>
      <c r="H100" s="25">
        <f t="shared" si="6"/>
        <v>1</v>
      </c>
      <c r="I100" s="26">
        <v>1566.5577000000001</v>
      </c>
      <c r="J100" s="27">
        <v>1.2274950000000001E-3</v>
      </c>
      <c r="K100" s="28">
        <f t="shared" si="5"/>
        <v>0.21059581970281402</v>
      </c>
      <c r="L100" s="29">
        <f t="shared" si="7"/>
        <v>0</v>
      </c>
    </row>
    <row r="101" spans="2:12" x14ac:dyDescent="0.25">
      <c r="B101" s="19" t="s">
        <v>101</v>
      </c>
      <c r="C101" s="30">
        <v>2645.9130535101754</v>
      </c>
      <c r="D101" s="31">
        <v>0.1729628</v>
      </c>
      <c r="E101" s="22">
        <v>2645.9131000000002</v>
      </c>
      <c r="F101" s="23">
        <v>0.123736359</v>
      </c>
      <c r="G101" s="24">
        <f t="shared" si="4"/>
        <v>1.7570428019962335E-8</v>
      </c>
      <c r="H101" s="25">
        <f t="shared" si="6"/>
        <v>1</v>
      </c>
      <c r="I101" s="26">
        <v>2645.9131000000002</v>
      </c>
      <c r="J101" s="27">
        <v>1.056282E-3</v>
      </c>
      <c r="K101" s="28">
        <f t="shared" si="5"/>
        <v>1.7570428019962335E-8</v>
      </c>
      <c r="L101" s="29">
        <f t="shared" si="7"/>
        <v>1</v>
      </c>
    </row>
    <row r="102" spans="2:12" x14ac:dyDescent="0.25">
      <c r="B102" s="19" t="s">
        <v>102</v>
      </c>
      <c r="C102" s="30">
        <v>2347.9894347461295</v>
      </c>
      <c r="D102" s="31">
        <v>0.20193739999999999</v>
      </c>
      <c r="E102" s="22">
        <v>2347.9893999999999</v>
      </c>
      <c r="F102" s="23">
        <v>0.116876546</v>
      </c>
      <c r="G102" s="24">
        <f t="shared" si="4"/>
        <v>-1.4798247842090413E-8</v>
      </c>
      <c r="H102" s="25">
        <f t="shared" si="6"/>
        <v>1</v>
      </c>
      <c r="I102" s="26">
        <v>2594.4490000000001</v>
      </c>
      <c r="J102" s="27">
        <v>1.1451899999999999E-3</v>
      </c>
      <c r="K102" s="28">
        <f t="shared" si="5"/>
        <v>0.10496621560842687</v>
      </c>
      <c r="L102" s="29">
        <f t="shared" si="7"/>
        <v>0</v>
      </c>
    </row>
    <row r="103" spans="2:12" x14ac:dyDescent="0.25">
      <c r="B103" s="19" t="s">
        <v>103</v>
      </c>
      <c r="C103" s="30">
        <v>980.79489708381993</v>
      </c>
      <c r="D103" s="31">
        <v>0.21870419999999999</v>
      </c>
      <c r="E103" s="22">
        <v>980.79489999999998</v>
      </c>
      <c r="F103" s="23">
        <v>9.4292025000000002E-2</v>
      </c>
      <c r="G103" s="24">
        <f t="shared" si="4"/>
        <v>2.9732822426852544E-9</v>
      </c>
      <c r="H103" s="25">
        <f t="shared" si="6"/>
        <v>1</v>
      </c>
      <c r="I103" s="26">
        <v>980.79489999999998</v>
      </c>
      <c r="J103" s="27">
        <v>1.264996E-3</v>
      </c>
      <c r="K103" s="28">
        <f t="shared" si="5"/>
        <v>2.9732822426852544E-9</v>
      </c>
      <c r="L103" s="29">
        <f t="shared" si="7"/>
        <v>1</v>
      </c>
    </row>
    <row r="104" spans="2:12" x14ac:dyDescent="0.25">
      <c r="B104" s="19" t="s">
        <v>104</v>
      </c>
      <c r="C104" s="30">
        <v>1460.2773627594399</v>
      </c>
      <c r="D104" s="31">
        <v>0.29627209999999998</v>
      </c>
      <c r="E104" s="22">
        <v>1460.2773999999999</v>
      </c>
      <c r="F104" s="23">
        <v>9.8849641000000002E-2</v>
      </c>
      <c r="G104" s="24">
        <f t="shared" si="4"/>
        <v>2.5502388076656475E-8</v>
      </c>
      <c r="H104" s="25">
        <f t="shared" si="6"/>
        <v>1</v>
      </c>
      <c r="I104" s="26">
        <v>1841.1180999999999</v>
      </c>
      <c r="J104" s="27">
        <v>1.20893E-3</v>
      </c>
      <c r="K104" s="28">
        <f t="shared" si="5"/>
        <v>0.26080027462789485</v>
      </c>
      <c r="L104" s="29">
        <f t="shared" si="7"/>
        <v>0</v>
      </c>
    </row>
    <row r="105" spans="2:12" x14ac:dyDescent="0.25">
      <c r="B105" s="19" t="s">
        <v>105</v>
      </c>
      <c r="C105" s="30">
        <v>668.08561443831354</v>
      </c>
      <c r="D105" s="31">
        <v>0.24379690000000001</v>
      </c>
      <c r="E105" s="22">
        <v>668.0856</v>
      </c>
      <c r="F105" s="23">
        <v>0.15958288700000001</v>
      </c>
      <c r="G105" s="24">
        <f t="shared" si="4"/>
        <v>-2.1611471988100748E-8</v>
      </c>
      <c r="H105" s="25">
        <f t="shared" si="6"/>
        <v>1</v>
      </c>
      <c r="I105" s="26">
        <v>772.29880000000003</v>
      </c>
      <c r="J105" s="27">
        <v>1.6764320000000001E-3</v>
      </c>
      <c r="K105" s="28">
        <f t="shared" si="5"/>
        <v>0.15598777059329844</v>
      </c>
      <c r="L105" s="29">
        <f t="shared" si="7"/>
        <v>0</v>
      </c>
    </row>
    <row r="106" spans="2:12" x14ac:dyDescent="0.25">
      <c r="B106" s="19" t="s">
        <v>106</v>
      </c>
      <c r="C106" s="30">
        <v>958.13956037408002</v>
      </c>
      <c r="D106" s="31">
        <v>0.20827090000000001</v>
      </c>
      <c r="E106" s="22">
        <v>958.13959999999997</v>
      </c>
      <c r="F106" s="23">
        <v>0.126161357</v>
      </c>
      <c r="G106" s="24">
        <f t="shared" si="4"/>
        <v>4.1357148365580934E-8</v>
      </c>
      <c r="H106" s="25">
        <f t="shared" si="6"/>
        <v>1</v>
      </c>
      <c r="I106" s="26">
        <v>1147.5735</v>
      </c>
      <c r="J106" s="27">
        <v>1.2551179999999999E-3</v>
      </c>
      <c r="K106" s="28">
        <f t="shared" si="5"/>
        <v>0.19771017444677946</v>
      </c>
      <c r="L106" s="29">
        <f t="shared" si="7"/>
        <v>0</v>
      </c>
    </row>
    <row r="107" spans="2:12" x14ac:dyDescent="0.25">
      <c r="B107" s="19" t="s">
        <v>107</v>
      </c>
      <c r="C107" s="30">
        <v>1232.2476299918501</v>
      </c>
      <c r="D107" s="31">
        <v>0.2374521</v>
      </c>
      <c r="E107" s="22">
        <v>1232.2475999999999</v>
      </c>
      <c r="F107" s="23">
        <v>0.136586292</v>
      </c>
      <c r="G107" s="24">
        <f t="shared" si="4"/>
        <v>-2.4339142100688586E-8</v>
      </c>
      <c r="H107" s="25">
        <f t="shared" si="6"/>
        <v>1</v>
      </c>
      <c r="I107" s="26">
        <v>1499.9260999999999</v>
      </c>
      <c r="J107" s="27">
        <v>1.3979870000000001E-3</v>
      </c>
      <c r="K107" s="28">
        <f t="shared" si="5"/>
        <v>0.21722782295789053</v>
      </c>
      <c r="L107" s="29">
        <f t="shared" si="7"/>
        <v>0</v>
      </c>
    </row>
    <row r="108" spans="2:12" x14ac:dyDescent="0.25">
      <c r="B108" s="19" t="s">
        <v>108</v>
      </c>
      <c r="C108" s="30">
        <v>977.31868447440002</v>
      </c>
      <c r="D108" s="31">
        <v>0.24746840000000001</v>
      </c>
      <c r="E108" s="22">
        <v>977.31870000000004</v>
      </c>
      <c r="F108" s="23">
        <v>0.148210281</v>
      </c>
      <c r="G108" s="24">
        <f t="shared" si="4"/>
        <v>1.5885913434856176E-8</v>
      </c>
      <c r="H108" s="25">
        <f t="shared" si="6"/>
        <v>1</v>
      </c>
      <c r="I108" s="26">
        <v>1145.6035999999999</v>
      </c>
      <c r="J108" s="27">
        <v>1.307185E-3</v>
      </c>
      <c r="K108" s="28">
        <f t="shared" si="5"/>
        <v>0.17219042079002428</v>
      </c>
      <c r="L108" s="29">
        <f t="shared" si="7"/>
        <v>0</v>
      </c>
    </row>
    <row r="109" spans="2:12" x14ac:dyDescent="0.25">
      <c r="B109" s="19" t="s">
        <v>109</v>
      </c>
      <c r="C109" s="30">
        <v>1359.3929650391499</v>
      </c>
      <c r="D109" s="31">
        <v>0.24065590000000001</v>
      </c>
      <c r="E109" s="22">
        <v>1359.393</v>
      </c>
      <c r="F109" s="23">
        <v>0.182563742</v>
      </c>
      <c r="G109" s="24">
        <f t="shared" si="4"/>
        <v>2.5717986662344273E-8</v>
      </c>
      <c r="H109" s="25">
        <f t="shared" si="6"/>
        <v>1</v>
      </c>
      <c r="I109" s="26">
        <v>1697.8895</v>
      </c>
      <c r="J109" s="27">
        <v>1.209321E-3</v>
      </c>
      <c r="K109" s="28">
        <f t="shared" si="5"/>
        <v>0.24900565448424369</v>
      </c>
      <c r="L109" s="29">
        <f t="shared" si="7"/>
        <v>0</v>
      </c>
    </row>
    <row r="110" spans="2:12" x14ac:dyDescent="0.25">
      <c r="B110" s="19" t="s">
        <v>110</v>
      </c>
      <c r="C110" s="30">
        <v>863.65099015072803</v>
      </c>
      <c r="D110" s="31">
        <v>0.2379655</v>
      </c>
      <c r="E110" s="22">
        <v>863.65099999999995</v>
      </c>
      <c r="F110" s="23">
        <v>0.13183710500000001</v>
      </c>
      <c r="G110" s="24">
        <f t="shared" si="4"/>
        <v>1.1404226975087578E-8</v>
      </c>
      <c r="H110" s="25">
        <f t="shared" si="6"/>
        <v>1</v>
      </c>
      <c r="I110" s="26">
        <v>970.33339999999998</v>
      </c>
      <c r="J110" s="27">
        <v>1.2055830000000001E-3</v>
      </c>
      <c r="K110" s="28">
        <f t="shared" si="5"/>
        <v>0.12352490886469461</v>
      </c>
      <c r="L110" s="29">
        <f t="shared" si="7"/>
        <v>0</v>
      </c>
    </row>
    <row r="111" spans="2:12" x14ac:dyDescent="0.25">
      <c r="B111" s="19" t="s">
        <v>111</v>
      </c>
      <c r="C111" s="30">
        <v>1470.9489372206651</v>
      </c>
      <c r="D111" s="31">
        <v>0.26164169999999998</v>
      </c>
      <c r="E111" s="22">
        <v>1470.9489000000001</v>
      </c>
      <c r="F111" s="23">
        <v>0.203515103</v>
      </c>
      <c r="G111" s="24">
        <f t="shared" si="4"/>
        <v>-2.5303845764862483E-8</v>
      </c>
      <c r="H111" s="25">
        <f t="shared" si="6"/>
        <v>1</v>
      </c>
      <c r="I111" s="26">
        <v>1476.1261</v>
      </c>
      <c r="J111" s="27">
        <v>1.845349E-3</v>
      </c>
      <c r="K111" s="28">
        <f t="shared" si="5"/>
        <v>3.5196074101096868E-3</v>
      </c>
      <c r="L111" s="29">
        <f t="shared" si="7"/>
        <v>0</v>
      </c>
    </row>
    <row r="112" spans="2:12" x14ac:dyDescent="0.25">
      <c r="B112" s="19" t="s">
        <v>112</v>
      </c>
      <c r="C112" s="30">
        <v>879.13139271595003</v>
      </c>
      <c r="D112" s="31">
        <v>0.192827</v>
      </c>
      <c r="E112" s="22">
        <v>879.13139999999999</v>
      </c>
      <c r="F112" s="23">
        <v>0.199039991</v>
      </c>
      <c r="G112" s="24">
        <f t="shared" si="4"/>
        <v>8.2855077379005463E-9</v>
      </c>
      <c r="H112" s="25">
        <f t="shared" si="6"/>
        <v>1</v>
      </c>
      <c r="I112" s="26">
        <v>879.13139999999999</v>
      </c>
      <c r="J112" s="27">
        <v>1.6789159999999999E-3</v>
      </c>
      <c r="K112" s="28">
        <f t="shared" si="5"/>
        <v>8.2855077379005463E-9</v>
      </c>
      <c r="L112" s="29">
        <f t="shared" si="7"/>
        <v>1</v>
      </c>
    </row>
    <row r="113" spans="2:12" x14ac:dyDescent="0.25">
      <c r="B113" s="19" t="s">
        <v>113</v>
      </c>
      <c r="C113" s="30">
        <v>1375.1804095724651</v>
      </c>
      <c r="D113" s="31">
        <v>0.20183329999999999</v>
      </c>
      <c r="E113" s="22">
        <v>1375.1804</v>
      </c>
      <c r="F113" s="23">
        <v>0.186577989</v>
      </c>
      <c r="G113" s="24">
        <f t="shared" si="4"/>
        <v>-6.9608795278478252E-9</v>
      </c>
      <c r="H113" s="25">
        <f t="shared" si="6"/>
        <v>1</v>
      </c>
      <c r="I113" s="26">
        <v>1780.2275999999999</v>
      </c>
      <c r="J113" s="27">
        <v>1.823119E-3</v>
      </c>
      <c r="K113" s="28">
        <f t="shared" si="5"/>
        <v>0.29454112900972856</v>
      </c>
      <c r="L113" s="29">
        <f t="shared" si="7"/>
        <v>0</v>
      </c>
    </row>
    <row r="114" spans="2:12" x14ac:dyDescent="0.25">
      <c r="B114" s="19" t="s">
        <v>114</v>
      </c>
      <c r="C114" s="30">
        <v>1114.46726507175</v>
      </c>
      <c r="D114" s="31">
        <v>0.1485446</v>
      </c>
      <c r="E114" s="22">
        <v>1114.4673</v>
      </c>
      <c r="F114" s="23">
        <v>0.18513099799999999</v>
      </c>
      <c r="G114" s="24">
        <f t="shared" si="4"/>
        <v>3.1340759018210165E-8</v>
      </c>
      <c r="H114" s="25">
        <f t="shared" si="6"/>
        <v>1</v>
      </c>
      <c r="I114" s="26">
        <v>1329.086</v>
      </c>
      <c r="J114" s="27">
        <v>1.6055279999999999E-3</v>
      </c>
      <c r="K114" s="28">
        <f t="shared" si="5"/>
        <v>0.19257518067561427</v>
      </c>
      <c r="L114" s="29">
        <f t="shared" si="7"/>
        <v>0</v>
      </c>
    </row>
    <row r="115" spans="2:12" x14ac:dyDescent="0.25">
      <c r="B115" s="19" t="s">
        <v>115</v>
      </c>
      <c r="C115" s="30">
        <v>696.62373323709289</v>
      </c>
      <c r="D115" s="31">
        <v>0.1650529</v>
      </c>
      <c r="E115" s="22">
        <v>696.62369999999999</v>
      </c>
      <c r="F115" s="23">
        <v>0.19397669400000001</v>
      </c>
      <c r="G115" s="24">
        <f t="shared" si="4"/>
        <v>-4.7711686124745675E-8</v>
      </c>
      <c r="H115" s="25">
        <f t="shared" si="6"/>
        <v>1</v>
      </c>
      <c r="I115" s="26">
        <v>696.62369999999999</v>
      </c>
      <c r="J115" s="27">
        <v>3.4792220000000001E-3</v>
      </c>
      <c r="K115" s="28">
        <f t="shared" si="5"/>
        <v>-4.7711686124745675E-8</v>
      </c>
      <c r="L115" s="29">
        <f t="shared" si="7"/>
        <v>1</v>
      </c>
    </row>
    <row r="116" spans="2:12" x14ac:dyDescent="0.25">
      <c r="B116" s="19" t="s">
        <v>116</v>
      </c>
      <c r="C116" s="30">
        <v>1102.4709102477498</v>
      </c>
      <c r="D116" s="31">
        <v>0.194498</v>
      </c>
      <c r="E116" s="22">
        <v>1102.4709</v>
      </c>
      <c r="F116" s="23">
        <v>0.16114213799999999</v>
      </c>
      <c r="G116" s="24">
        <f t="shared" si="4"/>
        <v>-9.2952563617461861E-9</v>
      </c>
      <c r="H116" s="25">
        <f t="shared" si="6"/>
        <v>1</v>
      </c>
      <c r="I116" s="26">
        <v>1266.4305999999999</v>
      </c>
      <c r="J116" s="27">
        <v>1.9856050000000001E-3</v>
      </c>
      <c r="K116" s="28">
        <f t="shared" si="5"/>
        <v>0.14872019590558153</v>
      </c>
      <c r="L116" s="29">
        <f t="shared" si="7"/>
        <v>0</v>
      </c>
    </row>
    <row r="117" spans="2:12" x14ac:dyDescent="0.25">
      <c r="B117" s="19" t="s">
        <v>117</v>
      </c>
      <c r="C117" s="30">
        <v>758.31259735453796</v>
      </c>
      <c r="D117" s="31">
        <v>0.23870910000000001</v>
      </c>
      <c r="E117" s="22">
        <v>758.31259999999997</v>
      </c>
      <c r="F117" s="23">
        <v>0.14854577099999999</v>
      </c>
      <c r="G117" s="24">
        <f t="shared" si="4"/>
        <v>3.4886167361122886E-9</v>
      </c>
      <c r="H117" s="25">
        <f t="shared" si="6"/>
        <v>1</v>
      </c>
      <c r="I117" s="26">
        <v>758.31259999999997</v>
      </c>
      <c r="J117" s="27">
        <v>2.1957919999999998E-3</v>
      </c>
      <c r="K117" s="28">
        <f t="shared" si="5"/>
        <v>3.4886167361122886E-9</v>
      </c>
      <c r="L117" s="29">
        <f t="shared" si="7"/>
        <v>1</v>
      </c>
    </row>
    <row r="118" spans="2:12" x14ac:dyDescent="0.25">
      <c r="B118" s="19" t="s">
        <v>118</v>
      </c>
      <c r="C118" s="30">
        <v>665.81486259584983</v>
      </c>
      <c r="D118" s="31">
        <v>0.15647059999999999</v>
      </c>
      <c r="E118" s="22">
        <v>665.81489999999997</v>
      </c>
      <c r="F118" s="23">
        <v>0.18488866300000001</v>
      </c>
      <c r="G118" s="24">
        <f t="shared" si="4"/>
        <v>5.6178004180779194E-8</v>
      </c>
      <c r="H118" s="25">
        <f t="shared" si="6"/>
        <v>1</v>
      </c>
      <c r="I118" s="26">
        <v>686.94809999999995</v>
      </c>
      <c r="J118" s="27">
        <v>2.1218919999999998E-3</v>
      </c>
      <c r="K118" s="28">
        <f t="shared" si="5"/>
        <v>3.174041102320363E-2</v>
      </c>
      <c r="L118" s="29">
        <f t="shared" si="7"/>
        <v>0</v>
      </c>
    </row>
    <row r="119" spans="2:12" x14ac:dyDescent="0.25">
      <c r="B119" s="19" t="s">
        <v>119</v>
      </c>
      <c r="C119" s="30">
        <v>765.85999326191211</v>
      </c>
      <c r="D119" s="31">
        <v>0.1884411</v>
      </c>
      <c r="E119" s="22">
        <v>765.86</v>
      </c>
      <c r="F119" s="23">
        <v>0.174180324</v>
      </c>
      <c r="G119" s="24">
        <f t="shared" si="4"/>
        <v>8.7980674846646625E-9</v>
      </c>
      <c r="H119" s="25">
        <f t="shared" si="6"/>
        <v>1</v>
      </c>
      <c r="I119" s="26">
        <v>871.48019999999997</v>
      </c>
      <c r="J119" s="27">
        <v>2.0404580000000002E-3</v>
      </c>
      <c r="K119" s="28">
        <f t="shared" si="5"/>
        <v>0.13791059419129026</v>
      </c>
      <c r="L119" s="29">
        <f t="shared" si="7"/>
        <v>0</v>
      </c>
    </row>
    <row r="120" spans="2:12" x14ac:dyDescent="0.25">
      <c r="B120" s="19" t="s">
        <v>120</v>
      </c>
      <c r="C120" s="30">
        <v>1467.2857691906001</v>
      </c>
      <c r="D120" s="31">
        <v>0.177456</v>
      </c>
      <c r="E120" s="22">
        <v>1467.2858000000001</v>
      </c>
      <c r="F120" s="23">
        <v>0.17140844399999999</v>
      </c>
      <c r="G120" s="24">
        <f t="shared" si="4"/>
        <v>2.0997545676632796E-8</v>
      </c>
      <c r="H120" s="25">
        <f t="shared" si="6"/>
        <v>1</v>
      </c>
      <c r="I120" s="26">
        <v>1635.6578</v>
      </c>
      <c r="J120" s="27">
        <v>2.1106499999999999E-3</v>
      </c>
      <c r="K120" s="28">
        <f t="shared" si="5"/>
        <v>0.1147506738937971</v>
      </c>
      <c r="L120" s="29">
        <f t="shared" si="7"/>
        <v>0</v>
      </c>
    </row>
    <row r="121" spans="2:12" x14ac:dyDescent="0.25">
      <c r="B121" s="19" t="s">
        <v>121</v>
      </c>
      <c r="C121" s="30">
        <v>960.54157662018997</v>
      </c>
      <c r="D121" s="31">
        <v>0.19996069999999999</v>
      </c>
      <c r="E121" s="22">
        <v>960.54160000000002</v>
      </c>
      <c r="F121" s="23">
        <v>0.16829013400000001</v>
      </c>
      <c r="G121" s="24">
        <f t="shared" si="4"/>
        <v>2.4340237439345449E-8</v>
      </c>
      <c r="H121" s="25">
        <f t="shared" si="6"/>
        <v>1</v>
      </c>
      <c r="I121" s="26">
        <v>1082.06</v>
      </c>
      <c r="J121" s="27">
        <v>1.5918523E-2</v>
      </c>
      <c r="K121" s="28">
        <f t="shared" si="5"/>
        <v>0.12651032119545602</v>
      </c>
      <c r="L121" s="29">
        <f t="shared" si="7"/>
        <v>0</v>
      </c>
    </row>
    <row r="122" spans="2:12" x14ac:dyDescent="0.25">
      <c r="B122" s="19" t="s">
        <v>122</v>
      </c>
      <c r="C122" s="30">
        <v>600.81347590964992</v>
      </c>
      <c r="D122" s="31">
        <v>0.1805012</v>
      </c>
      <c r="E122" s="22">
        <v>600.81349999999998</v>
      </c>
      <c r="F122" s="23">
        <v>0.144192248</v>
      </c>
      <c r="G122" s="24">
        <f t="shared" si="4"/>
        <v>4.0096221237549846E-8</v>
      </c>
      <c r="H122" s="25">
        <f t="shared" si="6"/>
        <v>1</v>
      </c>
      <c r="I122" s="26">
        <v>600.81349999999998</v>
      </c>
      <c r="J122" s="27">
        <v>2.0628515E-2</v>
      </c>
      <c r="K122" s="28">
        <f t="shared" si="5"/>
        <v>4.0096221237549846E-8</v>
      </c>
      <c r="L122" s="29">
        <f t="shared" si="7"/>
        <v>1</v>
      </c>
    </row>
    <row r="123" spans="2:12" x14ac:dyDescent="0.25">
      <c r="B123" s="19" t="s">
        <v>123</v>
      </c>
      <c r="C123" s="30">
        <v>989.45966329328985</v>
      </c>
      <c r="D123" s="31">
        <v>0.2063728</v>
      </c>
      <c r="E123" s="22">
        <v>989.4597</v>
      </c>
      <c r="F123" s="23">
        <v>0.14325238200000001</v>
      </c>
      <c r="G123" s="24">
        <f t="shared" si="4"/>
        <v>3.7097732742039044E-8</v>
      </c>
      <c r="H123" s="25">
        <f t="shared" si="6"/>
        <v>1</v>
      </c>
      <c r="I123" s="26">
        <v>1206.8820000000001</v>
      </c>
      <c r="J123" s="27">
        <v>1.1984893999999999E-2</v>
      </c>
      <c r="K123" s="28">
        <f t="shared" si="5"/>
        <v>0.2197384539992745</v>
      </c>
      <c r="L123" s="29">
        <f t="shared" si="7"/>
        <v>0</v>
      </c>
    </row>
    <row r="124" spans="2:12" ht="15.75" thickBot="1" x14ac:dyDescent="0.3">
      <c r="B124" s="32" t="s">
        <v>124</v>
      </c>
      <c r="C124" s="30">
        <v>1041.4983658726849</v>
      </c>
      <c r="D124" s="31">
        <v>0.19892170000000001</v>
      </c>
      <c r="E124" s="22">
        <v>1041.4983999999999</v>
      </c>
      <c r="F124" s="23">
        <v>0.161775108</v>
      </c>
      <c r="G124" s="24">
        <f t="shared" si="4"/>
        <v>3.2767516679340028E-8</v>
      </c>
      <c r="H124" s="25">
        <f t="shared" si="6"/>
        <v>1</v>
      </c>
      <c r="I124" s="26">
        <v>1150.5181</v>
      </c>
      <c r="J124" s="27">
        <v>1.3042187E-2</v>
      </c>
      <c r="K124" s="28">
        <f t="shared" si="5"/>
        <v>0.10467585711089052</v>
      </c>
      <c r="L124" s="29">
        <f t="shared" si="7"/>
        <v>0</v>
      </c>
    </row>
    <row r="125" spans="2:12" ht="15.75" thickBot="1" x14ac:dyDescent="0.3">
      <c r="C125" s="33">
        <v>3691.0573460521991</v>
      </c>
      <c r="D125" s="34">
        <f>AVERAGE(D5:D124)</f>
        <v>0.26399168416666652</v>
      </c>
      <c r="E125" s="35">
        <f>AVERAGE(E5:E124)</f>
        <v>3691.0567850000002</v>
      </c>
      <c r="F125" s="35">
        <f>AVERAGE(F5:F124)</f>
        <v>0.2324269272916667</v>
      </c>
      <c r="G125" s="36">
        <f>AVERAGE(G5:G124)</f>
        <v>-3.2518560312107748E-7</v>
      </c>
      <c r="H125" s="37">
        <f>SUM(H5:H124)</f>
        <v>120</v>
      </c>
      <c r="I125" s="38">
        <v>4045.4567133333335</v>
      </c>
      <c r="J125" s="38">
        <v>3.1306198500000008E-3</v>
      </c>
      <c r="K125" s="39">
        <f>AVERAGE(K5:K124)</f>
        <v>0.105943590837867</v>
      </c>
      <c r="L125" s="40">
        <f>SUM(L5:L124)</f>
        <v>33</v>
      </c>
    </row>
    <row r="128" spans="2:12" ht="15.75" thickBot="1" x14ac:dyDescent="0.3"/>
    <row r="129" spans="2:12" x14ac:dyDescent="0.25">
      <c r="B129" s="1" t="s">
        <v>0</v>
      </c>
      <c r="C129" s="2" t="s">
        <v>125</v>
      </c>
      <c r="D129" s="3"/>
      <c r="E129" s="4" t="s">
        <v>126</v>
      </c>
      <c r="F129" s="5"/>
      <c r="G129" s="5"/>
      <c r="H129" s="6"/>
      <c r="I129" s="7" t="s">
        <v>247</v>
      </c>
      <c r="J129" s="8"/>
      <c r="K129" s="8"/>
      <c r="L129" s="9"/>
    </row>
    <row r="130" spans="2:12" ht="15.75" thickBot="1" x14ac:dyDescent="0.3">
      <c r="B130" s="10"/>
      <c r="C130" s="11" t="s">
        <v>1</v>
      </c>
      <c r="D130" s="12" t="s">
        <v>2</v>
      </c>
      <c r="E130" s="13" t="s">
        <v>1</v>
      </c>
      <c r="F130" s="14" t="s">
        <v>2</v>
      </c>
      <c r="G130" s="14" t="s">
        <v>3</v>
      </c>
      <c r="H130" s="15" t="s">
        <v>4</v>
      </c>
      <c r="I130" s="16" t="s">
        <v>1</v>
      </c>
      <c r="J130" s="17" t="s">
        <v>2</v>
      </c>
      <c r="K130" s="17" t="s">
        <v>3</v>
      </c>
      <c r="L130" s="18" t="s">
        <v>4</v>
      </c>
    </row>
    <row r="131" spans="2:12" x14ac:dyDescent="0.25">
      <c r="B131" s="19" t="s">
        <v>127</v>
      </c>
      <c r="C131" s="20">
        <v>14052.950543704901</v>
      </c>
      <c r="D131" s="21">
        <v>0.245348012</v>
      </c>
      <c r="E131" s="22">
        <v>14052.950500000001</v>
      </c>
      <c r="F131" s="23">
        <v>1.374129594</v>
      </c>
      <c r="G131" s="24">
        <f t="shared" ref="G131:G194" si="8">(E131-C131)/C131</f>
        <v>-3.1100159429032101E-9</v>
      </c>
      <c r="H131" s="25">
        <f>IF(G131&lt;0.000001,1,0)</f>
        <v>1</v>
      </c>
      <c r="I131" s="26">
        <v>15655.2988</v>
      </c>
      <c r="J131" s="27">
        <v>1.2811774E-2</v>
      </c>
      <c r="K131" s="28">
        <f t="shared" ref="K131:K194" si="9">(I131-C131)/C131</f>
        <v>0.1140221942226133</v>
      </c>
      <c r="L131" s="29">
        <f>IF(K131&lt;0.000001,1,0)</f>
        <v>0</v>
      </c>
    </row>
    <row r="132" spans="2:12" x14ac:dyDescent="0.25">
      <c r="B132" s="19" t="s">
        <v>128</v>
      </c>
      <c r="C132" s="30">
        <v>17456.764758182999</v>
      </c>
      <c r="D132" s="31">
        <v>0.31711135400000001</v>
      </c>
      <c r="E132" s="22">
        <v>17456.764800000001</v>
      </c>
      <c r="F132" s="23">
        <v>1.242561644</v>
      </c>
      <c r="G132" s="24">
        <f t="shared" si="8"/>
        <v>2.3954611656796335E-9</v>
      </c>
      <c r="H132" s="25">
        <f t="shared" ref="H132:H195" si="10">IF(G132&lt;0.000001,1,0)</f>
        <v>1</v>
      </c>
      <c r="I132" s="26">
        <v>18115.427100000001</v>
      </c>
      <c r="J132" s="27">
        <v>1.2649849999999999E-3</v>
      </c>
      <c r="K132" s="28">
        <f t="shared" si="9"/>
        <v>3.773106591862898E-2</v>
      </c>
      <c r="L132" s="29">
        <f t="shared" ref="L132:L195" si="11">IF(K132&lt;0.000001,1,0)</f>
        <v>0</v>
      </c>
    </row>
    <row r="133" spans="2:12" x14ac:dyDescent="0.25">
      <c r="B133" s="19" t="s">
        <v>129</v>
      </c>
      <c r="C133" s="30">
        <v>20291.121085581002</v>
      </c>
      <c r="D133" s="31">
        <v>0.30567169799999999</v>
      </c>
      <c r="E133" s="22">
        <v>20291.1211</v>
      </c>
      <c r="F133" s="23">
        <v>1.226277075</v>
      </c>
      <c r="G133" s="24">
        <f t="shared" si="8"/>
        <v>7.1060627817736394E-10</v>
      </c>
      <c r="H133" s="25">
        <f t="shared" si="10"/>
        <v>1</v>
      </c>
      <c r="I133" s="26">
        <v>24926.697700000001</v>
      </c>
      <c r="J133" s="27">
        <v>1.223598E-3</v>
      </c>
      <c r="K133" s="28">
        <f t="shared" si="9"/>
        <v>0.22845344990391231</v>
      </c>
      <c r="L133" s="29">
        <f t="shared" si="11"/>
        <v>0</v>
      </c>
    </row>
    <row r="134" spans="2:12" x14ac:dyDescent="0.25">
      <c r="B134" s="19" t="s">
        <v>130</v>
      </c>
      <c r="C134" s="30">
        <v>12466.431639565502</v>
      </c>
      <c r="D134" s="31">
        <v>0.33272795300000002</v>
      </c>
      <c r="E134" s="22">
        <v>12466.4316</v>
      </c>
      <c r="F134" s="23">
        <v>1.274196356</v>
      </c>
      <c r="G134" s="24">
        <f t="shared" si="8"/>
        <v>-3.1737632380774209E-9</v>
      </c>
      <c r="H134" s="25">
        <f t="shared" si="10"/>
        <v>1</v>
      </c>
      <c r="I134" s="26">
        <v>12466.4316</v>
      </c>
      <c r="J134" s="27">
        <v>1.3748230000000001E-3</v>
      </c>
      <c r="K134" s="28">
        <f t="shared" si="9"/>
        <v>-3.1737632380774209E-9</v>
      </c>
      <c r="L134" s="29">
        <f t="shared" si="11"/>
        <v>1</v>
      </c>
    </row>
    <row r="135" spans="2:12" x14ac:dyDescent="0.25">
      <c r="B135" s="19" t="s">
        <v>131</v>
      </c>
      <c r="C135" s="30">
        <v>19299.854168453501</v>
      </c>
      <c r="D135" s="31">
        <v>0.44540908899999998</v>
      </c>
      <c r="E135" s="22">
        <v>19299.854200000002</v>
      </c>
      <c r="F135" s="23">
        <v>1.3298543730000001</v>
      </c>
      <c r="G135" s="24">
        <f t="shared" si="8"/>
        <v>1.6345460499186746E-9</v>
      </c>
      <c r="H135" s="25">
        <f t="shared" si="10"/>
        <v>1</v>
      </c>
      <c r="I135" s="26">
        <v>19299.854200000002</v>
      </c>
      <c r="J135" s="27">
        <v>2.3256370000000002E-3</v>
      </c>
      <c r="K135" s="28">
        <f t="shared" si="9"/>
        <v>1.6345460499186746E-9</v>
      </c>
      <c r="L135" s="29">
        <f t="shared" si="11"/>
        <v>1</v>
      </c>
    </row>
    <row r="136" spans="2:12" x14ac:dyDescent="0.25">
      <c r="B136" s="19" t="s">
        <v>132</v>
      </c>
      <c r="C136" s="30">
        <v>20822.820554358554</v>
      </c>
      <c r="D136" s="31">
        <v>0.219656304</v>
      </c>
      <c r="E136" s="22">
        <v>20822.820599999999</v>
      </c>
      <c r="F136" s="23">
        <v>1.3189611670000001</v>
      </c>
      <c r="G136" s="24">
        <f t="shared" si="8"/>
        <v>2.1918954422304667E-9</v>
      </c>
      <c r="H136" s="25">
        <f t="shared" si="10"/>
        <v>1</v>
      </c>
      <c r="I136" s="26">
        <v>23449.555100000001</v>
      </c>
      <c r="J136" s="27">
        <v>1.2326749999999999E-3</v>
      </c>
      <c r="K136" s="28">
        <f t="shared" si="9"/>
        <v>0.12614691361260516</v>
      </c>
      <c r="L136" s="29">
        <f t="shared" si="11"/>
        <v>0</v>
      </c>
    </row>
    <row r="137" spans="2:12" x14ac:dyDescent="0.25">
      <c r="B137" s="19" t="s">
        <v>133</v>
      </c>
      <c r="C137" s="30">
        <v>14314.8025939052</v>
      </c>
      <c r="D137" s="31">
        <v>0.39518090299999997</v>
      </c>
      <c r="E137" s="22">
        <v>14314.802600000001</v>
      </c>
      <c r="F137" s="23">
        <v>1.3480046080000001</v>
      </c>
      <c r="G137" s="24">
        <f t="shared" si="8"/>
        <v>4.2576909063103029E-10</v>
      </c>
      <c r="H137" s="25">
        <f t="shared" si="10"/>
        <v>1</v>
      </c>
      <c r="I137" s="26">
        <v>14314.802600000001</v>
      </c>
      <c r="J137" s="27">
        <v>1.3926769999999999E-3</v>
      </c>
      <c r="K137" s="28">
        <f t="shared" si="9"/>
        <v>4.2576909063103029E-10</v>
      </c>
      <c r="L137" s="29">
        <f t="shared" si="11"/>
        <v>1</v>
      </c>
    </row>
    <row r="138" spans="2:12" x14ac:dyDescent="0.25">
      <c r="B138" s="19" t="s">
        <v>134</v>
      </c>
      <c r="C138" s="30">
        <v>21521.464510570997</v>
      </c>
      <c r="D138" s="31">
        <v>0.40294676200000001</v>
      </c>
      <c r="E138" s="22">
        <v>21521.464499999998</v>
      </c>
      <c r="F138" s="23">
        <v>0.17916015399999999</v>
      </c>
      <c r="G138" s="24">
        <f t="shared" si="8"/>
        <v>-4.9118398545106109E-10</v>
      </c>
      <c r="H138" s="25">
        <f t="shared" si="10"/>
        <v>1</v>
      </c>
      <c r="I138" s="26">
        <v>25832.022499999999</v>
      </c>
      <c r="J138" s="27">
        <v>1.339277E-3</v>
      </c>
      <c r="K138" s="28">
        <f t="shared" si="9"/>
        <v>0.20029110878173395</v>
      </c>
      <c r="L138" s="29">
        <f t="shared" si="11"/>
        <v>0</v>
      </c>
    </row>
    <row r="139" spans="2:12" x14ac:dyDescent="0.25">
      <c r="B139" s="19" t="s">
        <v>135</v>
      </c>
      <c r="C139" s="30">
        <v>12973.4443787167</v>
      </c>
      <c r="D139" s="31">
        <v>0.387551861</v>
      </c>
      <c r="E139" s="22">
        <v>12973.4444</v>
      </c>
      <c r="F139" s="23">
        <v>0.170266267</v>
      </c>
      <c r="G139" s="24">
        <f t="shared" si="8"/>
        <v>1.640528107697734E-9</v>
      </c>
      <c r="H139" s="25">
        <f t="shared" si="10"/>
        <v>1</v>
      </c>
      <c r="I139" s="26">
        <v>14564.856599999999</v>
      </c>
      <c r="J139" s="27">
        <v>4.6801270000000001E-3</v>
      </c>
      <c r="K139" s="28">
        <f t="shared" si="9"/>
        <v>0.1226669013121955</v>
      </c>
      <c r="L139" s="29">
        <f t="shared" si="11"/>
        <v>0</v>
      </c>
    </row>
    <row r="140" spans="2:12" x14ac:dyDescent="0.25">
      <c r="B140" s="19" t="s">
        <v>136</v>
      </c>
      <c r="C140" s="30">
        <v>14563.280025433398</v>
      </c>
      <c r="D140" s="31">
        <v>0.11685195600000001</v>
      </c>
      <c r="E140" s="22">
        <v>14563.28</v>
      </c>
      <c r="F140" s="23">
        <v>0.15288042800000001</v>
      </c>
      <c r="G140" s="24">
        <f t="shared" si="8"/>
        <v>-1.7464058368916131E-9</v>
      </c>
      <c r="H140" s="25">
        <f t="shared" si="10"/>
        <v>1</v>
      </c>
      <c r="I140" s="26">
        <v>16318.210300000001</v>
      </c>
      <c r="J140" s="27">
        <v>1.2022479999999999E-3</v>
      </c>
      <c r="K140" s="28">
        <f t="shared" si="9"/>
        <v>0.12050377878484669</v>
      </c>
      <c r="L140" s="29">
        <f t="shared" si="11"/>
        <v>0</v>
      </c>
    </row>
    <row r="141" spans="2:12" x14ac:dyDescent="0.25">
      <c r="B141" s="19" t="s">
        <v>137</v>
      </c>
      <c r="C141" s="30">
        <v>9622.9905488546992</v>
      </c>
      <c r="D141" s="31">
        <v>0.25105222799999999</v>
      </c>
      <c r="E141" s="22">
        <v>9622.9904999999999</v>
      </c>
      <c r="F141" s="23">
        <v>0.21761171900000001</v>
      </c>
      <c r="G141" s="24">
        <f t="shared" si="8"/>
        <v>-5.0768728386215357E-9</v>
      </c>
      <c r="H141" s="25">
        <f t="shared" si="10"/>
        <v>1</v>
      </c>
      <c r="I141" s="26">
        <v>9622.9904999999999</v>
      </c>
      <c r="J141" s="27">
        <v>1.9865059999999999E-3</v>
      </c>
      <c r="K141" s="28">
        <f t="shared" si="9"/>
        <v>-5.0768728386215357E-9</v>
      </c>
      <c r="L141" s="29">
        <f t="shared" si="11"/>
        <v>1</v>
      </c>
    </row>
    <row r="142" spans="2:12" x14ac:dyDescent="0.25">
      <c r="B142" s="19" t="s">
        <v>138</v>
      </c>
      <c r="C142" s="30">
        <v>8657.1922720002985</v>
      </c>
      <c r="D142" s="31">
        <v>0.25029153799999998</v>
      </c>
      <c r="E142" s="22">
        <v>8657.1923000000006</v>
      </c>
      <c r="F142" s="23">
        <v>0.20855295099999999</v>
      </c>
      <c r="G142" s="24">
        <f t="shared" si="8"/>
        <v>3.2342705567890154E-9</v>
      </c>
      <c r="H142" s="25">
        <f t="shared" si="10"/>
        <v>1</v>
      </c>
      <c r="I142" s="26">
        <v>8657.1923000000006</v>
      </c>
      <c r="J142" s="27">
        <v>3.0639690000000002E-3</v>
      </c>
      <c r="K142" s="28">
        <f t="shared" si="9"/>
        <v>3.2342705567890154E-9</v>
      </c>
      <c r="L142" s="29">
        <f t="shared" si="11"/>
        <v>1</v>
      </c>
    </row>
    <row r="143" spans="2:12" x14ac:dyDescent="0.25">
      <c r="B143" s="19" t="s">
        <v>139</v>
      </c>
      <c r="C143" s="30">
        <v>11731.430904464549</v>
      </c>
      <c r="D143" s="31">
        <v>0.30338358900000001</v>
      </c>
      <c r="E143" s="22">
        <v>11731.430899999999</v>
      </c>
      <c r="F143" s="23">
        <v>0.214849768</v>
      </c>
      <c r="G143" s="24">
        <f t="shared" si="8"/>
        <v>-3.8056307506672098E-10</v>
      </c>
      <c r="H143" s="25">
        <f t="shared" si="10"/>
        <v>1</v>
      </c>
      <c r="I143" s="26">
        <v>13442.31</v>
      </c>
      <c r="J143" s="27">
        <v>2.7495549999999999E-3</v>
      </c>
      <c r="K143" s="28">
        <f t="shared" si="9"/>
        <v>0.1458372051515347</v>
      </c>
      <c r="L143" s="29">
        <f t="shared" si="11"/>
        <v>0</v>
      </c>
    </row>
    <row r="144" spans="2:12" x14ac:dyDescent="0.25">
      <c r="B144" s="19" t="s">
        <v>140</v>
      </c>
      <c r="C144" s="30">
        <v>12682.281769893301</v>
      </c>
      <c r="D144" s="31">
        <v>0.21711998699999999</v>
      </c>
      <c r="E144" s="22">
        <v>12682.281800000001</v>
      </c>
      <c r="F144" s="23">
        <v>0.21238829100000001</v>
      </c>
      <c r="G144" s="24">
        <f t="shared" si="8"/>
        <v>2.3739181866333935E-9</v>
      </c>
      <c r="H144" s="25">
        <f t="shared" si="10"/>
        <v>1</v>
      </c>
      <c r="I144" s="26">
        <v>15176.2893</v>
      </c>
      <c r="J144" s="27">
        <v>4.6308429999999999E-3</v>
      </c>
      <c r="K144" s="28">
        <f t="shared" si="9"/>
        <v>0.19665290326755464</v>
      </c>
      <c r="L144" s="29">
        <f t="shared" si="11"/>
        <v>0</v>
      </c>
    </row>
    <row r="145" spans="2:12" x14ac:dyDescent="0.25">
      <c r="B145" s="19" t="s">
        <v>141</v>
      </c>
      <c r="C145" s="30">
        <v>15324.504514592203</v>
      </c>
      <c r="D145" s="31">
        <v>0.36613667100000002</v>
      </c>
      <c r="E145" s="22">
        <v>15324.504499999999</v>
      </c>
      <c r="F145" s="23">
        <v>0.197790142</v>
      </c>
      <c r="G145" s="24">
        <f t="shared" si="8"/>
        <v>-9.5221375743477329E-10</v>
      </c>
      <c r="H145" s="25">
        <f t="shared" si="10"/>
        <v>1</v>
      </c>
      <c r="I145" s="26">
        <v>19087.803</v>
      </c>
      <c r="J145" s="27">
        <v>7.8711240000000002E-3</v>
      </c>
      <c r="K145" s="28">
        <f t="shared" si="9"/>
        <v>0.24557390953973959</v>
      </c>
      <c r="L145" s="29">
        <f t="shared" si="11"/>
        <v>0</v>
      </c>
    </row>
    <row r="146" spans="2:12" x14ac:dyDescent="0.25">
      <c r="B146" s="19" t="s">
        <v>142</v>
      </c>
      <c r="C146" s="30">
        <v>17170.484459701507</v>
      </c>
      <c r="D146" s="31">
        <v>0.485287621</v>
      </c>
      <c r="E146" s="22">
        <v>17170.484499999999</v>
      </c>
      <c r="F146" s="23">
        <v>0.195398868</v>
      </c>
      <c r="G146" s="24">
        <f t="shared" si="8"/>
        <v>2.3469629879830791E-9</v>
      </c>
      <c r="H146" s="25">
        <f t="shared" si="10"/>
        <v>1</v>
      </c>
      <c r="I146" s="26">
        <v>20084.9807</v>
      </c>
      <c r="J146" s="27">
        <v>8.9444799999999994E-3</v>
      </c>
      <c r="K146" s="28">
        <f t="shared" si="9"/>
        <v>0.16973873085169541</v>
      </c>
      <c r="L146" s="29">
        <f t="shared" si="11"/>
        <v>0</v>
      </c>
    </row>
    <row r="147" spans="2:12" x14ac:dyDescent="0.25">
      <c r="B147" s="19" t="s">
        <v>143</v>
      </c>
      <c r="C147" s="30">
        <v>11861.64716782675</v>
      </c>
      <c r="D147" s="31">
        <v>0.290535074</v>
      </c>
      <c r="E147" s="22">
        <v>11861.647199999999</v>
      </c>
      <c r="F147" s="23">
        <v>0.107713091</v>
      </c>
      <c r="G147" s="24">
        <f t="shared" si="8"/>
        <v>2.7123762079363183E-9</v>
      </c>
      <c r="H147" s="25">
        <f t="shared" si="10"/>
        <v>1</v>
      </c>
      <c r="I147" s="26">
        <v>12967.324199999999</v>
      </c>
      <c r="J147" s="27">
        <v>1.6291229999999999E-3</v>
      </c>
      <c r="K147" s="28">
        <f t="shared" si="9"/>
        <v>9.3214459722951573E-2</v>
      </c>
      <c r="L147" s="29">
        <f t="shared" si="11"/>
        <v>0</v>
      </c>
    </row>
    <row r="148" spans="2:12" x14ac:dyDescent="0.25">
      <c r="B148" s="19" t="s">
        <v>144</v>
      </c>
      <c r="C148" s="30">
        <v>12080.470170711998</v>
      </c>
      <c r="D148" s="31">
        <v>0.38933245100000002</v>
      </c>
      <c r="E148" s="22">
        <v>12080.4702</v>
      </c>
      <c r="F148" s="23">
        <v>0.161786439</v>
      </c>
      <c r="G148" s="24">
        <f t="shared" si="8"/>
        <v>2.4244090586688764E-9</v>
      </c>
      <c r="H148" s="25">
        <f t="shared" si="10"/>
        <v>1</v>
      </c>
      <c r="I148" s="26">
        <v>12080.4702</v>
      </c>
      <c r="J148" s="27">
        <v>1.4677290000000001E-3</v>
      </c>
      <c r="K148" s="28">
        <f t="shared" si="9"/>
        <v>2.4244090586688764E-9</v>
      </c>
      <c r="L148" s="29">
        <f t="shared" si="11"/>
        <v>1</v>
      </c>
    </row>
    <row r="149" spans="2:12" x14ac:dyDescent="0.25">
      <c r="B149" s="19" t="s">
        <v>145</v>
      </c>
      <c r="C149" s="30">
        <v>16176.135397965802</v>
      </c>
      <c r="D149" s="31">
        <v>0.306517021</v>
      </c>
      <c r="E149" s="22">
        <v>16176.135399999999</v>
      </c>
      <c r="F149" s="23">
        <v>0.117384448</v>
      </c>
      <c r="G149" s="24">
        <f t="shared" si="8"/>
        <v>1.2575300761354782E-10</v>
      </c>
      <c r="H149" s="25">
        <f t="shared" si="10"/>
        <v>1</v>
      </c>
      <c r="I149" s="26">
        <v>18310.4054</v>
      </c>
      <c r="J149" s="27">
        <v>1.6679049999999999E-3</v>
      </c>
      <c r="K149" s="28">
        <f t="shared" si="9"/>
        <v>0.13193942493227331</v>
      </c>
      <c r="L149" s="29">
        <f t="shared" si="11"/>
        <v>0</v>
      </c>
    </row>
    <row r="150" spans="2:12" x14ac:dyDescent="0.25">
      <c r="B150" s="19" t="s">
        <v>146</v>
      </c>
      <c r="C150" s="30">
        <v>10829.808587437481</v>
      </c>
      <c r="D150" s="31">
        <v>0.202816477</v>
      </c>
      <c r="E150" s="22">
        <v>10829.8086</v>
      </c>
      <c r="F150" s="23">
        <v>0.12867601200000001</v>
      </c>
      <c r="G150" s="24">
        <f t="shared" si="8"/>
        <v>1.1599945795986151E-9</v>
      </c>
      <c r="H150" s="25">
        <f t="shared" si="10"/>
        <v>1</v>
      </c>
      <c r="I150" s="26">
        <v>11986.6765</v>
      </c>
      <c r="J150" s="27">
        <v>1.808341E-3</v>
      </c>
      <c r="K150" s="28">
        <f t="shared" si="9"/>
        <v>0.10682256322650791</v>
      </c>
      <c r="L150" s="29">
        <f t="shared" si="11"/>
        <v>0</v>
      </c>
    </row>
    <row r="151" spans="2:12" x14ac:dyDescent="0.25">
      <c r="B151" s="19" t="s">
        <v>147</v>
      </c>
      <c r="C151" s="30">
        <v>10511.001449921652</v>
      </c>
      <c r="D151" s="31">
        <v>0.212314904</v>
      </c>
      <c r="E151" s="22">
        <v>10511.001399999999</v>
      </c>
      <c r="F151" s="23">
        <v>0.224960041</v>
      </c>
      <c r="G151" s="24">
        <f t="shared" si="8"/>
        <v>-4.7494668592844447E-9</v>
      </c>
      <c r="H151" s="25">
        <f t="shared" si="10"/>
        <v>1</v>
      </c>
      <c r="I151" s="26">
        <v>12712.530199999999</v>
      </c>
      <c r="J151" s="27">
        <v>2.3006200000000002E-3</v>
      </c>
      <c r="K151" s="28">
        <f t="shared" si="9"/>
        <v>0.2094499520875584</v>
      </c>
      <c r="L151" s="29">
        <f t="shared" si="11"/>
        <v>0</v>
      </c>
    </row>
    <row r="152" spans="2:12" x14ac:dyDescent="0.25">
      <c r="B152" s="19" t="s">
        <v>148</v>
      </c>
      <c r="C152" s="30">
        <v>8885.9124865444992</v>
      </c>
      <c r="D152" s="31">
        <v>0.300525176</v>
      </c>
      <c r="E152" s="22">
        <v>8885.9125000000004</v>
      </c>
      <c r="F152" s="23">
        <v>0.241725144</v>
      </c>
      <c r="G152" s="24">
        <f t="shared" si="8"/>
        <v>1.5142509219914731E-9</v>
      </c>
      <c r="H152" s="25">
        <f t="shared" si="10"/>
        <v>1</v>
      </c>
      <c r="I152" s="26">
        <v>8885.9125000000004</v>
      </c>
      <c r="J152" s="27">
        <v>2.339182E-3</v>
      </c>
      <c r="K152" s="28">
        <f t="shared" si="9"/>
        <v>1.5142509219914731E-9</v>
      </c>
      <c r="L152" s="29">
        <f t="shared" si="11"/>
        <v>1</v>
      </c>
    </row>
    <row r="153" spans="2:12" x14ac:dyDescent="0.25">
      <c r="B153" s="19" t="s">
        <v>149</v>
      </c>
      <c r="C153" s="30">
        <v>9300.0204253960001</v>
      </c>
      <c r="D153" s="31">
        <v>0.286272162</v>
      </c>
      <c r="E153" s="22">
        <v>9300.0203999999994</v>
      </c>
      <c r="F153" s="23">
        <v>0.22780239499999999</v>
      </c>
      <c r="G153" s="24">
        <f t="shared" si="8"/>
        <v>-2.7307467592443539E-9</v>
      </c>
      <c r="H153" s="25">
        <f t="shared" si="10"/>
        <v>1</v>
      </c>
      <c r="I153" s="26">
        <v>14816.4136</v>
      </c>
      <c r="J153" s="27">
        <v>1.649141E-3</v>
      </c>
      <c r="K153" s="28">
        <f t="shared" si="9"/>
        <v>0.59315925366573685</v>
      </c>
      <c r="L153" s="29">
        <f t="shared" si="11"/>
        <v>0</v>
      </c>
    </row>
    <row r="154" spans="2:12" x14ac:dyDescent="0.25">
      <c r="B154" s="19" t="s">
        <v>150</v>
      </c>
      <c r="C154" s="30">
        <v>9635.0149837833469</v>
      </c>
      <c r="D154" s="31">
        <v>0.37247533999999999</v>
      </c>
      <c r="E154" s="22">
        <v>9635.0149999999994</v>
      </c>
      <c r="F154" s="23">
        <v>0.19841463600000001</v>
      </c>
      <c r="G154" s="24">
        <f t="shared" si="8"/>
        <v>1.6830957231303528E-9</v>
      </c>
      <c r="H154" s="25">
        <f t="shared" si="10"/>
        <v>1</v>
      </c>
      <c r="I154" s="26">
        <v>11161.637500000001</v>
      </c>
      <c r="J154" s="27">
        <v>1.815704E-3</v>
      </c>
      <c r="K154" s="28">
        <f t="shared" si="9"/>
        <v>0.15844526643561072</v>
      </c>
      <c r="L154" s="29">
        <f t="shared" si="11"/>
        <v>0</v>
      </c>
    </row>
    <row r="155" spans="2:12" x14ac:dyDescent="0.25">
      <c r="B155" s="19" t="s">
        <v>151</v>
      </c>
      <c r="C155" s="30">
        <v>16665.27950478088</v>
      </c>
      <c r="D155" s="31">
        <v>0.305956067</v>
      </c>
      <c r="E155" s="22">
        <v>16665.279500000001</v>
      </c>
      <c r="F155" s="23">
        <v>0.175032786</v>
      </c>
      <c r="G155" s="24">
        <f t="shared" si="8"/>
        <v>-2.8687661384848116E-10</v>
      </c>
      <c r="H155" s="25">
        <f t="shared" si="10"/>
        <v>1</v>
      </c>
      <c r="I155" s="26">
        <v>17251.6875</v>
      </c>
      <c r="J155" s="27">
        <v>2.4270680000000001E-3</v>
      </c>
      <c r="K155" s="28">
        <f t="shared" si="9"/>
        <v>3.5187408351050685E-2</v>
      </c>
      <c r="L155" s="29">
        <f t="shared" si="11"/>
        <v>0</v>
      </c>
    </row>
    <row r="156" spans="2:12" x14ac:dyDescent="0.25">
      <c r="B156" s="19" t="s">
        <v>152</v>
      </c>
      <c r="C156" s="30">
        <v>9713.3222752479887</v>
      </c>
      <c r="D156" s="31">
        <v>0.23915124600000001</v>
      </c>
      <c r="E156" s="22">
        <v>9713.3222999999998</v>
      </c>
      <c r="F156" s="23">
        <v>0.165344677</v>
      </c>
      <c r="G156" s="24">
        <f t="shared" si="8"/>
        <v>2.548253870786072E-9</v>
      </c>
      <c r="H156" s="25">
        <f t="shared" si="10"/>
        <v>1</v>
      </c>
      <c r="I156" s="26">
        <v>13058.6209</v>
      </c>
      <c r="J156" s="27">
        <v>2.1436229999999999E-3</v>
      </c>
      <c r="K156" s="28">
        <f t="shared" si="9"/>
        <v>0.34440313313568122</v>
      </c>
      <c r="L156" s="29">
        <f t="shared" si="11"/>
        <v>0</v>
      </c>
    </row>
    <row r="157" spans="2:12" x14ac:dyDescent="0.25">
      <c r="B157" s="19" t="s">
        <v>153</v>
      </c>
      <c r="C157" s="30">
        <v>8988.9515288863968</v>
      </c>
      <c r="D157" s="31">
        <v>0.27628477499999998</v>
      </c>
      <c r="E157" s="22">
        <v>8988.9514999999992</v>
      </c>
      <c r="F157" s="23">
        <v>0.15855967400000001</v>
      </c>
      <c r="G157" s="24">
        <f t="shared" si="8"/>
        <v>-3.213544701576499E-9</v>
      </c>
      <c r="H157" s="25">
        <f t="shared" si="10"/>
        <v>1</v>
      </c>
      <c r="I157" s="26">
        <v>10022.0119</v>
      </c>
      <c r="J157" s="27">
        <v>2.6858749999999999E-3</v>
      </c>
      <c r="K157" s="28">
        <f t="shared" si="9"/>
        <v>0.11492556921614464</v>
      </c>
      <c r="L157" s="29">
        <f t="shared" si="11"/>
        <v>0</v>
      </c>
    </row>
    <row r="158" spans="2:12" x14ac:dyDescent="0.25">
      <c r="B158" s="19" t="s">
        <v>154</v>
      </c>
      <c r="C158" s="30">
        <v>7868.0360658854979</v>
      </c>
      <c r="D158" s="31">
        <v>0.28223345999999999</v>
      </c>
      <c r="E158" s="22">
        <v>7868.0361000000003</v>
      </c>
      <c r="F158" s="23">
        <v>0.163439205</v>
      </c>
      <c r="G158" s="24">
        <f t="shared" si="8"/>
        <v>4.335834515193508E-9</v>
      </c>
      <c r="H158" s="25">
        <f t="shared" si="10"/>
        <v>1</v>
      </c>
      <c r="I158" s="26">
        <v>11590.1765</v>
      </c>
      <c r="J158" s="27">
        <v>4.3445339999999997E-3</v>
      </c>
      <c r="K158" s="28">
        <f t="shared" si="9"/>
        <v>0.47307109460937607</v>
      </c>
      <c r="L158" s="29">
        <f t="shared" si="11"/>
        <v>0</v>
      </c>
    </row>
    <row r="159" spans="2:12" x14ac:dyDescent="0.25">
      <c r="B159" s="19" t="s">
        <v>155</v>
      </c>
      <c r="C159" s="30">
        <v>13559.135409465101</v>
      </c>
      <c r="D159" s="31">
        <v>0.19029464700000001</v>
      </c>
      <c r="E159" s="22">
        <v>13559.135399999999</v>
      </c>
      <c r="F159" s="23">
        <v>0.13627445399999999</v>
      </c>
      <c r="G159" s="24">
        <f t="shared" si="8"/>
        <v>-6.9806089994474345E-10</v>
      </c>
      <c r="H159" s="25">
        <f t="shared" si="10"/>
        <v>1</v>
      </c>
      <c r="I159" s="26">
        <v>24324.280200000001</v>
      </c>
      <c r="J159" s="27">
        <v>4.4751390000000004E-3</v>
      </c>
      <c r="K159" s="28">
        <f t="shared" si="9"/>
        <v>0.7939403557412793</v>
      </c>
      <c r="L159" s="29">
        <f t="shared" si="11"/>
        <v>0</v>
      </c>
    </row>
    <row r="160" spans="2:12" x14ac:dyDescent="0.25">
      <c r="B160" s="19" t="s">
        <v>156</v>
      </c>
      <c r="C160" s="30">
        <v>8704.7525999144</v>
      </c>
      <c r="D160" s="31">
        <v>0.231386389</v>
      </c>
      <c r="E160" s="22">
        <v>8704.7525999999998</v>
      </c>
      <c r="F160" s="23">
        <v>0.24697851800000001</v>
      </c>
      <c r="G160" s="24">
        <f t="shared" si="8"/>
        <v>9.8336881328834339E-12</v>
      </c>
      <c r="H160" s="25">
        <f t="shared" si="10"/>
        <v>1</v>
      </c>
      <c r="I160" s="26">
        <v>9415.6201999999994</v>
      </c>
      <c r="J160" s="27">
        <v>2.055046E-3</v>
      </c>
      <c r="K160" s="28">
        <f t="shared" si="9"/>
        <v>8.1664308310449837E-2</v>
      </c>
      <c r="L160" s="29">
        <f t="shared" si="11"/>
        <v>0</v>
      </c>
    </row>
    <row r="161" spans="2:12" x14ac:dyDescent="0.25">
      <c r="B161" s="19" t="s">
        <v>157</v>
      </c>
      <c r="C161" s="30">
        <v>5184.2604748205986</v>
      </c>
      <c r="D161" s="31">
        <v>0.10533031700000001</v>
      </c>
      <c r="E161" s="22">
        <v>5184.2605000000003</v>
      </c>
      <c r="F161" s="23">
        <v>0.374899502</v>
      </c>
      <c r="G161" s="24">
        <f t="shared" si="8"/>
        <v>4.8568936433921042E-9</v>
      </c>
      <c r="H161" s="25">
        <f t="shared" si="10"/>
        <v>1</v>
      </c>
      <c r="I161" s="26">
        <v>6845.4928</v>
      </c>
      <c r="J161" s="27">
        <v>1.4327862E-2</v>
      </c>
      <c r="K161" s="28">
        <f t="shared" si="9"/>
        <v>0.32043766574766641</v>
      </c>
      <c r="L161" s="29">
        <f t="shared" si="11"/>
        <v>0</v>
      </c>
    </row>
    <row r="162" spans="2:12" x14ac:dyDescent="0.25">
      <c r="B162" s="19" t="s">
        <v>158</v>
      </c>
      <c r="C162" s="30">
        <v>9062.1999612571399</v>
      </c>
      <c r="D162" s="31">
        <v>0.23036300500000001</v>
      </c>
      <c r="E162" s="22">
        <v>9062.2000000000007</v>
      </c>
      <c r="F162" s="23">
        <v>0.50348334100000003</v>
      </c>
      <c r="G162" s="24">
        <f t="shared" si="8"/>
        <v>4.2752158435655675E-9</v>
      </c>
      <c r="H162" s="25">
        <f t="shared" si="10"/>
        <v>1</v>
      </c>
      <c r="I162" s="26">
        <v>14107.2621</v>
      </c>
      <c r="J162" s="27">
        <v>4.8239570000000002E-3</v>
      </c>
      <c r="K162" s="28">
        <f t="shared" si="9"/>
        <v>0.5567149434256129</v>
      </c>
      <c r="L162" s="29">
        <f t="shared" si="11"/>
        <v>0</v>
      </c>
    </row>
    <row r="163" spans="2:12" x14ac:dyDescent="0.25">
      <c r="B163" s="19" t="s">
        <v>159</v>
      </c>
      <c r="C163" s="30">
        <v>7553.0010172835</v>
      </c>
      <c r="D163" s="31">
        <v>0.219155145</v>
      </c>
      <c r="E163" s="22">
        <v>7553.0010000000002</v>
      </c>
      <c r="F163" s="23">
        <v>0.43651499700000002</v>
      </c>
      <c r="G163" s="24">
        <f t="shared" si="8"/>
        <v>-2.288295706775919E-9</v>
      </c>
      <c r="H163" s="25">
        <f t="shared" si="10"/>
        <v>1</v>
      </c>
      <c r="I163" s="26">
        <v>10016.1294</v>
      </c>
      <c r="J163" s="27">
        <v>4.2889089999999996E-3</v>
      </c>
      <c r="K163" s="28">
        <f t="shared" si="9"/>
        <v>0.32611254481233798</v>
      </c>
      <c r="L163" s="29">
        <f t="shared" si="11"/>
        <v>0</v>
      </c>
    </row>
    <row r="164" spans="2:12" x14ac:dyDescent="0.25">
      <c r="B164" s="19" t="s">
        <v>160</v>
      </c>
      <c r="C164" s="30">
        <v>10005.753376217001</v>
      </c>
      <c r="D164" s="31">
        <v>0.22761742300000001</v>
      </c>
      <c r="E164" s="22">
        <v>10005.7534</v>
      </c>
      <c r="F164" s="23">
        <v>0.57949554700000006</v>
      </c>
      <c r="G164" s="24">
        <f t="shared" si="8"/>
        <v>2.3769323664889537E-9</v>
      </c>
      <c r="H164" s="25">
        <f t="shared" si="10"/>
        <v>1</v>
      </c>
      <c r="I164" s="26">
        <v>12630.7292</v>
      </c>
      <c r="J164" s="27">
        <v>4.6090219999999999E-3</v>
      </c>
      <c r="K164" s="28">
        <f t="shared" si="9"/>
        <v>0.26234664448380163</v>
      </c>
      <c r="L164" s="29">
        <f t="shared" si="11"/>
        <v>0</v>
      </c>
    </row>
    <row r="165" spans="2:12" x14ac:dyDescent="0.25">
      <c r="B165" s="19" t="s">
        <v>161</v>
      </c>
      <c r="C165" s="30">
        <v>6868.3300095049999</v>
      </c>
      <c r="D165" s="31">
        <v>0.154596287</v>
      </c>
      <c r="E165" s="22">
        <v>6868.33</v>
      </c>
      <c r="F165" s="23">
        <v>0.44893061200000001</v>
      </c>
      <c r="G165" s="24">
        <f t="shared" si="8"/>
        <v>-1.3838880727669412E-9</v>
      </c>
      <c r="H165" s="25">
        <f t="shared" si="10"/>
        <v>1</v>
      </c>
      <c r="I165" s="26">
        <v>6868.33</v>
      </c>
      <c r="J165" s="27">
        <v>4.5842859999999999E-3</v>
      </c>
      <c r="K165" s="28">
        <f t="shared" si="9"/>
        <v>-1.3838880727669412E-9</v>
      </c>
      <c r="L165" s="29">
        <f t="shared" si="11"/>
        <v>1</v>
      </c>
    </row>
    <row r="166" spans="2:12" x14ac:dyDescent="0.25">
      <c r="B166" s="19" t="s">
        <v>162</v>
      </c>
      <c r="C166" s="30">
        <v>8719.8263641110407</v>
      </c>
      <c r="D166" s="31">
        <v>0.106002772</v>
      </c>
      <c r="E166" s="22">
        <v>8719.8263999999999</v>
      </c>
      <c r="F166" s="23">
        <v>0.46516012800000001</v>
      </c>
      <c r="G166" s="24">
        <f t="shared" si="8"/>
        <v>4.1157882906858427E-9</v>
      </c>
      <c r="H166" s="25">
        <f t="shared" si="10"/>
        <v>1</v>
      </c>
      <c r="I166" s="26">
        <v>8719.8263999999999</v>
      </c>
      <c r="J166" s="27">
        <v>3.7183530000000002E-3</v>
      </c>
      <c r="K166" s="28">
        <f t="shared" si="9"/>
        <v>4.1157882906858427E-9</v>
      </c>
      <c r="L166" s="29">
        <f t="shared" si="11"/>
        <v>1</v>
      </c>
    </row>
    <row r="167" spans="2:12" x14ac:dyDescent="0.25">
      <c r="B167" s="19" t="s">
        <v>163</v>
      </c>
      <c r="C167" s="30">
        <v>9961.1117292506024</v>
      </c>
      <c r="D167" s="31">
        <v>0.27133754700000001</v>
      </c>
      <c r="E167" s="22">
        <v>9961.1116999999995</v>
      </c>
      <c r="F167" s="23">
        <v>0.40262629799999999</v>
      </c>
      <c r="G167" s="24">
        <f t="shared" si="8"/>
        <v>-2.9364797512332499E-9</v>
      </c>
      <c r="H167" s="25">
        <f t="shared" si="10"/>
        <v>1</v>
      </c>
      <c r="I167" s="26">
        <v>12406.490900000001</v>
      </c>
      <c r="J167" s="27">
        <v>4.0161040000000004E-3</v>
      </c>
      <c r="K167" s="28">
        <f t="shared" si="9"/>
        <v>0.24549259532634216</v>
      </c>
      <c r="L167" s="29">
        <f t="shared" si="11"/>
        <v>0</v>
      </c>
    </row>
    <row r="168" spans="2:12" x14ac:dyDescent="0.25">
      <c r="B168" s="19" t="s">
        <v>164</v>
      </c>
      <c r="C168" s="30">
        <v>12269.167772129849</v>
      </c>
      <c r="D168" s="31">
        <v>0.24258021199999999</v>
      </c>
      <c r="E168" s="22">
        <v>12269.167799999999</v>
      </c>
      <c r="F168" s="23">
        <v>0.418934792</v>
      </c>
      <c r="G168" s="24">
        <f t="shared" si="8"/>
        <v>2.2715599398519385E-9</v>
      </c>
      <c r="H168" s="25">
        <f t="shared" si="10"/>
        <v>1</v>
      </c>
      <c r="I168" s="26">
        <v>17224.886399999999</v>
      </c>
      <c r="J168" s="27">
        <v>4.0842020000000003E-3</v>
      </c>
      <c r="K168" s="28">
        <f t="shared" si="9"/>
        <v>0.40391644485678663</v>
      </c>
      <c r="L168" s="29">
        <f t="shared" si="11"/>
        <v>0</v>
      </c>
    </row>
    <row r="169" spans="2:12" x14ac:dyDescent="0.25">
      <c r="B169" s="19" t="s">
        <v>165</v>
      </c>
      <c r="C169" s="30">
        <v>9326.7551678595009</v>
      </c>
      <c r="D169" s="31">
        <v>0.28319666199999999</v>
      </c>
      <c r="E169" s="22">
        <v>9326.7551999999996</v>
      </c>
      <c r="F169" s="23">
        <v>0.44421516</v>
      </c>
      <c r="G169" s="24">
        <f t="shared" si="8"/>
        <v>3.4460536469849164E-9</v>
      </c>
      <c r="H169" s="25">
        <f t="shared" si="10"/>
        <v>1</v>
      </c>
      <c r="I169" s="26">
        <v>10076.4375</v>
      </c>
      <c r="J169" s="27">
        <v>4.2604160000000004E-3</v>
      </c>
      <c r="K169" s="28">
        <f t="shared" si="9"/>
        <v>8.0379758945956323E-2</v>
      </c>
      <c r="L169" s="29">
        <f t="shared" si="11"/>
        <v>0</v>
      </c>
    </row>
    <row r="170" spans="2:12" x14ac:dyDescent="0.25">
      <c r="B170" s="19" t="s">
        <v>166</v>
      </c>
      <c r="C170" s="30">
        <v>7313.7759572642999</v>
      </c>
      <c r="D170" s="31">
        <v>0.20121123199999999</v>
      </c>
      <c r="E170" s="22">
        <v>7313.7759999999998</v>
      </c>
      <c r="F170" s="23">
        <v>0.351168757</v>
      </c>
      <c r="G170" s="24">
        <f t="shared" si="8"/>
        <v>5.8431787061846976E-9</v>
      </c>
      <c r="H170" s="25">
        <f t="shared" si="10"/>
        <v>1</v>
      </c>
      <c r="I170" s="26">
        <v>8186.7722000000003</v>
      </c>
      <c r="J170" s="27">
        <v>4.1981880000000003E-3</v>
      </c>
      <c r="K170" s="28">
        <f t="shared" si="9"/>
        <v>0.11936327388708289</v>
      </c>
      <c r="L170" s="29">
        <f t="shared" si="11"/>
        <v>0</v>
      </c>
    </row>
    <row r="171" spans="2:12" x14ac:dyDescent="0.25">
      <c r="B171" s="19" t="s">
        <v>167</v>
      </c>
      <c r="C171" s="30">
        <v>11117.542756892923</v>
      </c>
      <c r="D171" s="31">
        <v>0.33107871799999999</v>
      </c>
      <c r="E171" s="22">
        <v>11117.542799999999</v>
      </c>
      <c r="F171" s="23">
        <v>0.15605060700000001</v>
      </c>
      <c r="G171" s="24">
        <f t="shared" si="8"/>
        <v>3.8773924758350797E-9</v>
      </c>
      <c r="H171" s="25">
        <f t="shared" si="10"/>
        <v>1</v>
      </c>
      <c r="I171" s="26">
        <v>11117.542799999999</v>
      </c>
      <c r="J171" s="27">
        <v>1.1651669999999999E-3</v>
      </c>
      <c r="K171" s="28">
        <f t="shared" si="9"/>
        <v>3.8773924758350797E-9</v>
      </c>
      <c r="L171" s="29">
        <f t="shared" si="11"/>
        <v>1</v>
      </c>
    </row>
    <row r="172" spans="2:12" x14ac:dyDescent="0.25">
      <c r="B172" s="19" t="s">
        <v>168</v>
      </c>
      <c r="C172" s="30">
        <v>20708.613904004796</v>
      </c>
      <c r="D172" s="31">
        <v>0.43259938399999998</v>
      </c>
      <c r="E172" s="22">
        <v>20708.6139</v>
      </c>
      <c r="F172" s="23">
        <v>0.18084729599999999</v>
      </c>
      <c r="G172" s="24">
        <f t="shared" si="8"/>
        <v>-1.9338794130669899E-10</v>
      </c>
      <c r="H172" s="25">
        <f t="shared" si="10"/>
        <v>1</v>
      </c>
      <c r="I172" s="26">
        <v>22045.394899999999</v>
      </c>
      <c r="J172" s="27">
        <v>1.305802E-3</v>
      </c>
      <c r="K172" s="28">
        <f t="shared" si="9"/>
        <v>6.4551930041859801E-2</v>
      </c>
      <c r="L172" s="29">
        <f t="shared" si="11"/>
        <v>0</v>
      </c>
    </row>
    <row r="173" spans="2:12" x14ac:dyDescent="0.25">
      <c r="B173" s="19" t="s">
        <v>169</v>
      </c>
      <c r="C173" s="30">
        <v>15918.936405369108</v>
      </c>
      <c r="D173" s="31">
        <v>0.236649044</v>
      </c>
      <c r="E173" s="22">
        <v>15918.936400000001</v>
      </c>
      <c r="F173" s="23">
        <v>0.16341679200000001</v>
      </c>
      <c r="G173" s="24">
        <f t="shared" si="8"/>
        <v>-3.3727802208297129E-10</v>
      </c>
      <c r="H173" s="25">
        <f t="shared" si="10"/>
        <v>1</v>
      </c>
      <c r="I173" s="26">
        <v>16750.180499999999</v>
      </c>
      <c r="J173" s="27">
        <v>1.021517E-3</v>
      </c>
      <c r="K173" s="28">
        <f t="shared" si="9"/>
        <v>5.2217313610884851E-2</v>
      </c>
      <c r="L173" s="29">
        <f t="shared" si="11"/>
        <v>0</v>
      </c>
    </row>
    <row r="174" spans="2:12" x14ac:dyDescent="0.25">
      <c r="B174" s="19" t="s">
        <v>170</v>
      </c>
      <c r="C174" s="30">
        <v>13192.317383770305</v>
      </c>
      <c r="D174" s="31">
        <v>0.114664777</v>
      </c>
      <c r="E174" s="22">
        <v>13192.3174</v>
      </c>
      <c r="F174" s="23">
        <v>7.5940519999999997E-2</v>
      </c>
      <c r="G174" s="24">
        <f t="shared" si="8"/>
        <v>1.2302383420135445E-9</v>
      </c>
      <c r="H174" s="25">
        <f t="shared" si="10"/>
        <v>1</v>
      </c>
      <c r="I174" s="26">
        <v>13192.3174</v>
      </c>
      <c r="J174" s="27">
        <v>5.356062E-3</v>
      </c>
      <c r="K174" s="28">
        <f t="shared" si="9"/>
        <v>1.2302383420135445E-9</v>
      </c>
      <c r="L174" s="29">
        <f t="shared" si="11"/>
        <v>1</v>
      </c>
    </row>
    <row r="175" spans="2:12" x14ac:dyDescent="0.25">
      <c r="B175" s="19" t="s">
        <v>171</v>
      </c>
      <c r="C175" s="30">
        <v>18843.146243329302</v>
      </c>
      <c r="D175" s="31">
        <v>0.43885407300000001</v>
      </c>
      <c r="E175" s="22">
        <v>18843.146199999999</v>
      </c>
      <c r="F175" s="23">
        <v>7.0135568999999995E-2</v>
      </c>
      <c r="G175" s="24">
        <f t="shared" si="8"/>
        <v>-2.2994728168668589E-9</v>
      </c>
      <c r="H175" s="25">
        <f t="shared" si="10"/>
        <v>1</v>
      </c>
      <c r="I175" s="26">
        <v>22984.8282</v>
      </c>
      <c r="J175" s="27">
        <v>1.1311940000000001E-3</v>
      </c>
      <c r="K175" s="28">
        <f t="shared" si="9"/>
        <v>0.21979779295811086</v>
      </c>
      <c r="L175" s="29">
        <f t="shared" si="11"/>
        <v>0</v>
      </c>
    </row>
    <row r="176" spans="2:12" x14ac:dyDescent="0.25">
      <c r="B176" s="19" t="s">
        <v>172</v>
      </c>
      <c r="C176" s="30">
        <v>20801.981106409297</v>
      </c>
      <c r="D176" s="31">
        <v>0.48776662799999998</v>
      </c>
      <c r="E176" s="22">
        <v>20801.981100000001</v>
      </c>
      <c r="F176" s="23">
        <v>8.3806304999999998E-2</v>
      </c>
      <c r="G176" s="24">
        <f t="shared" si="8"/>
        <v>-3.0810990751791558E-10</v>
      </c>
      <c r="H176" s="25">
        <f t="shared" si="10"/>
        <v>1</v>
      </c>
      <c r="I176" s="26">
        <v>22110.068500000001</v>
      </c>
      <c r="J176" s="27">
        <v>1.1618710000000001E-3</v>
      </c>
      <c r="K176" s="28">
        <f t="shared" si="9"/>
        <v>6.2882827693159921E-2</v>
      </c>
      <c r="L176" s="29">
        <f t="shared" si="11"/>
        <v>0</v>
      </c>
    </row>
    <row r="177" spans="2:12" x14ac:dyDescent="0.25">
      <c r="B177" s="19" t="s">
        <v>173</v>
      </c>
      <c r="C177" s="30">
        <v>15899.093587262796</v>
      </c>
      <c r="D177" s="31">
        <v>0.116977074</v>
      </c>
      <c r="E177" s="22">
        <v>15899.0936</v>
      </c>
      <c r="F177" s="23">
        <v>7.6686883999999997E-2</v>
      </c>
      <c r="G177" s="24">
        <f t="shared" si="8"/>
        <v>8.0112768806532862E-10</v>
      </c>
      <c r="H177" s="25">
        <f t="shared" si="10"/>
        <v>1</v>
      </c>
      <c r="I177" s="26">
        <v>22513.372200000002</v>
      </c>
      <c r="J177" s="27">
        <v>1.6197449999999999E-3</v>
      </c>
      <c r="K177" s="28">
        <f t="shared" si="9"/>
        <v>0.41601608144731517</v>
      </c>
      <c r="L177" s="29">
        <f t="shared" si="11"/>
        <v>0</v>
      </c>
    </row>
    <row r="178" spans="2:12" x14ac:dyDescent="0.25">
      <c r="B178" s="19" t="s">
        <v>174</v>
      </c>
      <c r="C178" s="30">
        <v>16194.081029725246</v>
      </c>
      <c r="D178" s="31">
        <v>0.43181693500000001</v>
      </c>
      <c r="E178" s="22">
        <v>16194.081</v>
      </c>
      <c r="F178" s="23">
        <v>6.2731703E-2</v>
      </c>
      <c r="G178" s="24">
        <f t="shared" si="8"/>
        <v>-1.8355624067297377E-9</v>
      </c>
      <c r="H178" s="25">
        <f t="shared" si="10"/>
        <v>1</v>
      </c>
      <c r="I178" s="26">
        <v>16194.081</v>
      </c>
      <c r="J178" s="27">
        <v>2.2211179999999998E-3</v>
      </c>
      <c r="K178" s="28">
        <f t="shared" si="9"/>
        <v>-1.8355624067297377E-9</v>
      </c>
      <c r="L178" s="29">
        <f t="shared" si="11"/>
        <v>1</v>
      </c>
    </row>
    <row r="179" spans="2:12" x14ac:dyDescent="0.25">
      <c r="B179" s="19" t="s">
        <v>175</v>
      </c>
      <c r="C179" s="30">
        <v>12059.643220934389</v>
      </c>
      <c r="D179" s="31">
        <v>0.298031822</v>
      </c>
      <c r="E179" s="22">
        <v>12059.6432</v>
      </c>
      <c r="F179" s="23">
        <v>5.8670478999999998E-2</v>
      </c>
      <c r="G179" s="24">
        <f t="shared" si="8"/>
        <v>-1.7359044958450562E-9</v>
      </c>
      <c r="H179" s="25">
        <f t="shared" si="10"/>
        <v>1</v>
      </c>
      <c r="I179" s="26">
        <v>13930.9614</v>
      </c>
      <c r="J179" s="27">
        <v>1.9225259999999999E-3</v>
      </c>
      <c r="K179" s="28">
        <f t="shared" si="9"/>
        <v>0.15517193541987884</v>
      </c>
      <c r="L179" s="29">
        <f t="shared" si="11"/>
        <v>0</v>
      </c>
    </row>
    <row r="180" spans="2:12" x14ac:dyDescent="0.25">
      <c r="B180" s="19" t="s">
        <v>176</v>
      </c>
      <c r="C180" s="30">
        <v>18459.210262343709</v>
      </c>
      <c r="D180" s="31">
        <v>0.54410715799999998</v>
      </c>
      <c r="E180" s="22">
        <v>18459.210299999999</v>
      </c>
      <c r="F180" s="23">
        <v>7.4964194999999997E-2</v>
      </c>
      <c r="G180" s="24">
        <f t="shared" si="8"/>
        <v>2.0399729357612281E-9</v>
      </c>
      <c r="H180" s="25">
        <f t="shared" si="10"/>
        <v>1</v>
      </c>
      <c r="I180" s="26">
        <v>19766.536599999999</v>
      </c>
      <c r="J180" s="27">
        <v>1.9921769999999999E-3</v>
      </c>
      <c r="K180" s="28">
        <f t="shared" si="9"/>
        <v>7.0822441430400757E-2</v>
      </c>
      <c r="L180" s="29">
        <f t="shared" si="11"/>
        <v>0</v>
      </c>
    </row>
    <row r="181" spans="2:12" x14ac:dyDescent="0.25">
      <c r="B181" s="19" t="s">
        <v>177</v>
      </c>
      <c r="C181" s="30">
        <v>7242.40361848059</v>
      </c>
      <c r="D181" s="31">
        <v>0.245357086</v>
      </c>
      <c r="E181" s="22">
        <v>7242.4035999999996</v>
      </c>
      <c r="F181" s="23">
        <v>0.116159056</v>
      </c>
      <c r="G181" s="24">
        <f t="shared" si="8"/>
        <v>-2.5517205811149125E-9</v>
      </c>
      <c r="H181" s="25">
        <f t="shared" si="10"/>
        <v>1</v>
      </c>
      <c r="I181" s="26">
        <v>7473.5174999999999</v>
      </c>
      <c r="J181" s="27">
        <v>2.3915410000000001E-3</v>
      </c>
      <c r="K181" s="28">
        <f t="shared" si="9"/>
        <v>3.1911212588272751E-2</v>
      </c>
      <c r="L181" s="29">
        <f t="shared" si="11"/>
        <v>0</v>
      </c>
    </row>
    <row r="182" spans="2:12" x14ac:dyDescent="0.25">
      <c r="B182" s="19" t="s">
        <v>178</v>
      </c>
      <c r="C182" s="30">
        <v>11257.791399908501</v>
      </c>
      <c r="D182" s="31">
        <v>0.38458631199999999</v>
      </c>
      <c r="E182" s="22">
        <v>11257.7914</v>
      </c>
      <c r="F182" s="23">
        <v>0.12454894499999999</v>
      </c>
      <c r="G182" s="24">
        <f t="shared" si="8"/>
        <v>8.1275981875012654E-12</v>
      </c>
      <c r="H182" s="25">
        <f t="shared" si="10"/>
        <v>1</v>
      </c>
      <c r="I182" s="26">
        <v>15914.487800000001</v>
      </c>
      <c r="J182" s="27">
        <v>2.6750839999999999E-3</v>
      </c>
      <c r="K182" s="28">
        <f t="shared" si="9"/>
        <v>0.41364209325546281</v>
      </c>
      <c r="L182" s="29">
        <f t="shared" si="11"/>
        <v>0</v>
      </c>
    </row>
    <row r="183" spans="2:12" x14ac:dyDescent="0.25">
      <c r="B183" s="19" t="s">
        <v>179</v>
      </c>
      <c r="C183" s="30">
        <v>8524.6754951204221</v>
      </c>
      <c r="D183" s="31">
        <v>0.120446237</v>
      </c>
      <c r="E183" s="22">
        <v>8524.6754999999994</v>
      </c>
      <c r="F183" s="23">
        <v>0.13991938600000001</v>
      </c>
      <c r="G183" s="24">
        <f t="shared" si="8"/>
        <v>5.7240622484686139E-10</v>
      </c>
      <c r="H183" s="25">
        <f t="shared" si="10"/>
        <v>1</v>
      </c>
      <c r="I183" s="26">
        <v>8524.6754999999994</v>
      </c>
      <c r="J183" s="27">
        <v>2.6654980000000001E-3</v>
      </c>
      <c r="K183" s="28">
        <f t="shared" si="9"/>
        <v>5.7240622484686139E-10</v>
      </c>
      <c r="L183" s="29">
        <f t="shared" si="11"/>
        <v>1</v>
      </c>
    </row>
    <row r="184" spans="2:12" x14ac:dyDescent="0.25">
      <c r="B184" s="19" t="s">
        <v>180</v>
      </c>
      <c r="C184" s="30">
        <v>7893.6420768927492</v>
      </c>
      <c r="D184" s="31">
        <v>0.50940217399999999</v>
      </c>
      <c r="E184" s="22">
        <v>7893.6421</v>
      </c>
      <c r="F184" s="23">
        <v>0.158616219</v>
      </c>
      <c r="G184" s="24">
        <f t="shared" si="8"/>
        <v>2.9273243743498782E-9</v>
      </c>
      <c r="H184" s="25">
        <f t="shared" si="10"/>
        <v>1</v>
      </c>
      <c r="I184" s="26">
        <v>7893.6421</v>
      </c>
      <c r="J184" s="27">
        <v>2.4834330000000002E-3</v>
      </c>
      <c r="K184" s="28">
        <f t="shared" si="9"/>
        <v>2.9273243743498782E-9</v>
      </c>
      <c r="L184" s="29">
        <f t="shared" si="11"/>
        <v>1</v>
      </c>
    </row>
    <row r="185" spans="2:12" x14ac:dyDescent="0.25">
      <c r="B185" s="19" t="s">
        <v>181</v>
      </c>
      <c r="C185" s="30">
        <v>6510.7137932526994</v>
      </c>
      <c r="D185" s="31">
        <v>0.22088484799999999</v>
      </c>
      <c r="E185" s="22">
        <v>6510.7138000000004</v>
      </c>
      <c r="F185" s="23">
        <v>0.139638449</v>
      </c>
      <c r="G185" s="24">
        <f t="shared" si="8"/>
        <v>1.0363381497194013E-9</v>
      </c>
      <c r="H185" s="25">
        <f t="shared" si="10"/>
        <v>1</v>
      </c>
      <c r="I185" s="26">
        <v>7055.0825000000004</v>
      </c>
      <c r="J185" s="27">
        <v>2.6319939999999999E-3</v>
      </c>
      <c r="K185" s="28">
        <f t="shared" si="9"/>
        <v>8.3611217453829892E-2</v>
      </c>
      <c r="L185" s="29">
        <f t="shared" si="11"/>
        <v>0</v>
      </c>
    </row>
    <row r="186" spans="2:12" x14ac:dyDescent="0.25">
      <c r="B186" s="19" t="s">
        <v>182</v>
      </c>
      <c r="C186" s="30">
        <v>10881.80622963446</v>
      </c>
      <c r="D186" s="31">
        <v>0.11674794500000001</v>
      </c>
      <c r="E186" s="22">
        <v>10881.806200000001</v>
      </c>
      <c r="F186" s="23">
        <v>0.125033637</v>
      </c>
      <c r="G186" s="24">
        <f t="shared" si="8"/>
        <v>-2.7233032958145187E-9</v>
      </c>
      <c r="H186" s="25">
        <f t="shared" si="10"/>
        <v>1</v>
      </c>
      <c r="I186" s="26">
        <v>18944.100399999999</v>
      </c>
      <c r="J186" s="27">
        <v>2.4908080000000002E-3</v>
      </c>
      <c r="K186" s="28">
        <f t="shared" si="9"/>
        <v>0.74089668573673617</v>
      </c>
      <c r="L186" s="29">
        <f t="shared" si="11"/>
        <v>0</v>
      </c>
    </row>
    <row r="187" spans="2:12" x14ac:dyDescent="0.25">
      <c r="B187" s="19" t="s">
        <v>183</v>
      </c>
      <c r="C187" s="30">
        <v>11224.318963500749</v>
      </c>
      <c r="D187" s="31">
        <v>0.32222066700000002</v>
      </c>
      <c r="E187" s="22">
        <v>11224.319</v>
      </c>
      <c r="F187" s="23">
        <v>0.130104107</v>
      </c>
      <c r="G187" s="24">
        <f t="shared" si="8"/>
        <v>3.251800872612699E-9</v>
      </c>
      <c r="H187" s="25">
        <f t="shared" si="10"/>
        <v>1</v>
      </c>
      <c r="I187" s="26">
        <v>15105.8933</v>
      </c>
      <c r="J187" s="27">
        <v>2.2209579999999999E-3</v>
      </c>
      <c r="K187" s="28">
        <f t="shared" si="9"/>
        <v>0.34581824956341295</v>
      </c>
      <c r="L187" s="29">
        <f t="shared" si="11"/>
        <v>0</v>
      </c>
    </row>
    <row r="188" spans="2:12" x14ac:dyDescent="0.25">
      <c r="B188" s="19" t="s">
        <v>184</v>
      </c>
      <c r="C188" s="30">
        <v>12513.4687998924</v>
      </c>
      <c r="D188" s="31">
        <v>0.337935241</v>
      </c>
      <c r="E188" s="22">
        <v>12513.468800000001</v>
      </c>
      <c r="F188" s="23">
        <v>0.11526035599999999</v>
      </c>
      <c r="G188" s="24">
        <f t="shared" si="8"/>
        <v>8.5987747201061321E-12</v>
      </c>
      <c r="H188" s="25">
        <f t="shared" si="10"/>
        <v>1</v>
      </c>
      <c r="I188" s="26">
        <v>18875.195100000001</v>
      </c>
      <c r="J188" s="27">
        <v>3.1533170000000001E-3</v>
      </c>
      <c r="K188" s="28">
        <f t="shared" si="9"/>
        <v>0.50839031141886926</v>
      </c>
      <c r="L188" s="29">
        <f t="shared" si="11"/>
        <v>0</v>
      </c>
    </row>
    <row r="189" spans="2:12" x14ac:dyDescent="0.25">
      <c r="B189" s="19" t="s">
        <v>185</v>
      </c>
      <c r="C189" s="30">
        <v>12217.454649909501</v>
      </c>
      <c r="D189" s="31">
        <v>0.41847802000000001</v>
      </c>
      <c r="E189" s="22">
        <v>12217.454599999999</v>
      </c>
      <c r="F189" s="23">
        <v>0.118310559</v>
      </c>
      <c r="G189" s="24">
        <f t="shared" si="8"/>
        <v>-4.0850982160549823E-9</v>
      </c>
      <c r="H189" s="25">
        <f t="shared" si="10"/>
        <v>1</v>
      </c>
      <c r="I189" s="26">
        <v>13253.2399</v>
      </c>
      <c r="J189" s="27">
        <v>2.65139E-3</v>
      </c>
      <c r="K189" s="28">
        <f t="shared" si="9"/>
        <v>8.4779136061550395E-2</v>
      </c>
      <c r="L189" s="29">
        <f t="shared" si="11"/>
        <v>0</v>
      </c>
    </row>
    <row r="190" spans="2:12" x14ac:dyDescent="0.25">
      <c r="B190" s="19" t="s">
        <v>186</v>
      </c>
      <c r="C190" s="30">
        <v>11426.2514033265</v>
      </c>
      <c r="D190" s="31">
        <v>0.39540112599999999</v>
      </c>
      <c r="E190" s="22">
        <v>11426.251399999999</v>
      </c>
      <c r="F190" s="23">
        <v>0.117029092</v>
      </c>
      <c r="G190" s="24">
        <f t="shared" si="8"/>
        <v>-2.9112789498297702E-10</v>
      </c>
      <c r="H190" s="25">
        <f t="shared" si="10"/>
        <v>1</v>
      </c>
      <c r="I190" s="26">
        <v>12707.872499999999</v>
      </c>
      <c r="J190" s="27">
        <v>2.5414930000000001E-3</v>
      </c>
      <c r="K190" s="28">
        <f t="shared" si="9"/>
        <v>0.11216461562366677</v>
      </c>
      <c r="L190" s="29">
        <f t="shared" si="11"/>
        <v>0</v>
      </c>
    </row>
    <row r="191" spans="2:12" x14ac:dyDescent="0.25">
      <c r="B191" s="19" t="s">
        <v>187</v>
      </c>
      <c r="C191" s="30">
        <v>5377.5408436481002</v>
      </c>
      <c r="D191" s="31">
        <v>0.10827566600000001</v>
      </c>
      <c r="E191" s="22">
        <v>5377.5407999999998</v>
      </c>
      <c r="F191" s="23">
        <v>0.17880853399999999</v>
      </c>
      <c r="G191" s="24">
        <f t="shared" si="8"/>
        <v>-8.1167399266142572E-9</v>
      </c>
      <c r="H191" s="25">
        <f t="shared" si="10"/>
        <v>1</v>
      </c>
      <c r="I191" s="26">
        <v>7832.1896999999999</v>
      </c>
      <c r="J191" s="27">
        <v>3.335181E-3</v>
      </c>
      <c r="K191" s="28">
        <f t="shared" si="9"/>
        <v>0.45646308000641361</v>
      </c>
      <c r="L191" s="29">
        <f t="shared" si="11"/>
        <v>0</v>
      </c>
    </row>
    <row r="192" spans="2:12" x14ac:dyDescent="0.25">
      <c r="B192" s="19" t="s">
        <v>188</v>
      </c>
      <c r="C192" s="30">
        <v>10588.325835703448</v>
      </c>
      <c r="D192" s="31">
        <v>0.31103555999999999</v>
      </c>
      <c r="E192" s="22">
        <v>10588.325800000001</v>
      </c>
      <c r="F192" s="23">
        <v>0.16210658999999999</v>
      </c>
      <c r="G192" s="24">
        <f t="shared" si="8"/>
        <v>-3.3719634573882472E-9</v>
      </c>
      <c r="H192" s="25">
        <f t="shared" si="10"/>
        <v>1</v>
      </c>
      <c r="I192" s="26">
        <v>14198.8979</v>
      </c>
      <c r="J192" s="27">
        <v>2.1145479999999999E-3</v>
      </c>
      <c r="K192" s="28">
        <f t="shared" si="9"/>
        <v>0.34099555683504135</v>
      </c>
      <c r="L192" s="29">
        <f t="shared" si="11"/>
        <v>0</v>
      </c>
    </row>
    <row r="193" spans="2:12" x14ac:dyDescent="0.25">
      <c r="B193" s="19" t="s">
        <v>189</v>
      </c>
      <c r="C193" s="30">
        <v>12345.096934285501</v>
      </c>
      <c r="D193" s="31">
        <v>0.30819623400000001</v>
      </c>
      <c r="E193" s="22">
        <v>12345.0969</v>
      </c>
      <c r="F193" s="23">
        <v>0.131036711</v>
      </c>
      <c r="G193" s="24">
        <f t="shared" si="8"/>
        <v>-2.7772564493109156E-9</v>
      </c>
      <c r="H193" s="25">
        <f t="shared" si="10"/>
        <v>1</v>
      </c>
      <c r="I193" s="26">
        <v>15230.6232</v>
      </c>
      <c r="J193" s="27">
        <v>3.617122E-3</v>
      </c>
      <c r="K193" s="28">
        <f t="shared" si="9"/>
        <v>0.23373864790811427</v>
      </c>
      <c r="L193" s="29">
        <f t="shared" si="11"/>
        <v>0</v>
      </c>
    </row>
    <row r="194" spans="2:12" x14ac:dyDescent="0.25">
      <c r="B194" s="19" t="s">
        <v>190</v>
      </c>
      <c r="C194" s="30">
        <v>10563.654308191999</v>
      </c>
      <c r="D194" s="31">
        <v>0.18437946999999999</v>
      </c>
      <c r="E194" s="22">
        <v>10563.6543</v>
      </c>
      <c r="F194" s="23">
        <v>0.19497446900000001</v>
      </c>
      <c r="G194" s="24">
        <f t="shared" si="8"/>
        <v>-7.7548910820253833E-10</v>
      </c>
      <c r="H194" s="25">
        <f t="shared" si="10"/>
        <v>1</v>
      </c>
      <c r="I194" s="26">
        <v>14311.074699999999</v>
      </c>
      <c r="J194" s="27">
        <v>2.4648579999999999E-3</v>
      </c>
      <c r="K194" s="28">
        <f t="shared" si="9"/>
        <v>0.35474659454748692</v>
      </c>
      <c r="L194" s="29">
        <f t="shared" si="11"/>
        <v>0</v>
      </c>
    </row>
    <row r="195" spans="2:12" x14ac:dyDescent="0.25">
      <c r="B195" s="19" t="s">
        <v>191</v>
      </c>
      <c r="C195" s="30">
        <v>9217.5155553147997</v>
      </c>
      <c r="D195" s="31">
        <v>0.26504523099999999</v>
      </c>
      <c r="E195" s="22">
        <v>9217.5156000000006</v>
      </c>
      <c r="F195" s="23">
        <v>0.194178884</v>
      </c>
      <c r="G195" s="24">
        <f t="shared" ref="G195:G250" si="12">(E195-C195)/C195</f>
        <v>4.8478573918199181E-9</v>
      </c>
      <c r="H195" s="25">
        <f t="shared" si="10"/>
        <v>1</v>
      </c>
      <c r="I195" s="26">
        <v>10013.865</v>
      </c>
      <c r="J195" s="27">
        <v>2.2741689999999999E-3</v>
      </c>
      <c r="K195" s="28">
        <f t="shared" ref="K195:K250" si="13">(I195-C195)/C195</f>
        <v>8.6395237404945494E-2</v>
      </c>
      <c r="L195" s="29">
        <f t="shared" si="11"/>
        <v>0</v>
      </c>
    </row>
    <row r="196" spans="2:12" x14ac:dyDescent="0.25">
      <c r="B196" s="19" t="s">
        <v>192</v>
      </c>
      <c r="C196" s="30">
        <v>11452.7681685265</v>
      </c>
      <c r="D196" s="31">
        <v>0.213577402</v>
      </c>
      <c r="E196" s="22">
        <v>11452.7682</v>
      </c>
      <c r="F196" s="23">
        <v>0.194034753</v>
      </c>
      <c r="G196" s="24">
        <f t="shared" si="12"/>
        <v>2.7481129670293832E-9</v>
      </c>
      <c r="H196" s="25">
        <f t="shared" ref="H196:H250" si="14">IF(G196&lt;0.000001,1,0)</f>
        <v>1</v>
      </c>
      <c r="I196" s="26">
        <v>14038.8194</v>
      </c>
      <c r="J196" s="27">
        <v>1.7266670000000001E-3</v>
      </c>
      <c r="K196" s="28">
        <f t="shared" si="13"/>
        <v>0.22580141267333617</v>
      </c>
      <c r="L196" s="29">
        <f t="shared" ref="L196:L250" si="15">IF(K196&lt;0.000001,1,0)</f>
        <v>0</v>
      </c>
    </row>
    <row r="197" spans="2:12" x14ac:dyDescent="0.25">
      <c r="B197" s="19" t="s">
        <v>193</v>
      </c>
      <c r="C197" s="30">
        <v>15658.955141633</v>
      </c>
      <c r="D197" s="31">
        <v>0.37508629599999999</v>
      </c>
      <c r="E197" s="22">
        <v>15658.955099999999</v>
      </c>
      <c r="F197" s="23">
        <v>0.201706843</v>
      </c>
      <c r="G197" s="24">
        <f t="shared" si="12"/>
        <v>-2.6587342506548231E-9</v>
      </c>
      <c r="H197" s="25">
        <f t="shared" si="14"/>
        <v>1</v>
      </c>
      <c r="I197" s="26">
        <v>15697.4969</v>
      </c>
      <c r="J197" s="27">
        <v>1.649532E-3</v>
      </c>
      <c r="K197" s="28">
        <f t="shared" si="13"/>
        <v>2.4613237612852099E-3</v>
      </c>
      <c r="L197" s="29">
        <f t="shared" si="15"/>
        <v>0</v>
      </c>
    </row>
    <row r="198" spans="2:12" x14ac:dyDescent="0.25">
      <c r="B198" s="19" t="s">
        <v>194</v>
      </c>
      <c r="C198" s="30">
        <v>5236.0481385357498</v>
      </c>
      <c r="D198" s="31">
        <v>0.31469272700000001</v>
      </c>
      <c r="E198" s="22">
        <v>5236.0481</v>
      </c>
      <c r="F198" s="23">
        <v>0.18666223500000001</v>
      </c>
      <c r="G198" s="24">
        <f t="shared" si="12"/>
        <v>-7.3597012077356129E-9</v>
      </c>
      <c r="H198" s="25">
        <f t="shared" si="14"/>
        <v>1</v>
      </c>
      <c r="I198" s="26">
        <v>5236.0481</v>
      </c>
      <c r="J198" s="27">
        <v>1.747265E-3</v>
      </c>
      <c r="K198" s="28">
        <f t="shared" si="13"/>
        <v>-7.3597012077356129E-9</v>
      </c>
      <c r="L198" s="29">
        <f t="shared" si="15"/>
        <v>1</v>
      </c>
    </row>
    <row r="199" spans="2:12" x14ac:dyDescent="0.25">
      <c r="B199" s="19" t="s">
        <v>195</v>
      </c>
      <c r="C199" s="30">
        <v>9016.9054370270005</v>
      </c>
      <c r="D199" s="31">
        <v>0.29037731500000002</v>
      </c>
      <c r="E199" s="22">
        <v>9016.9053999999996</v>
      </c>
      <c r="F199" s="23">
        <v>0.17725938199999999</v>
      </c>
      <c r="G199" s="24">
        <f t="shared" si="12"/>
        <v>-4.1063978246412323E-9</v>
      </c>
      <c r="H199" s="25">
        <f t="shared" si="14"/>
        <v>1</v>
      </c>
      <c r="I199" s="26">
        <v>10196.0422</v>
      </c>
      <c r="J199" s="27">
        <v>3.2165269999999998E-3</v>
      </c>
      <c r="K199" s="28">
        <f t="shared" si="13"/>
        <v>0.13076956071103893</v>
      </c>
      <c r="L199" s="29">
        <f t="shared" si="15"/>
        <v>0</v>
      </c>
    </row>
    <row r="200" spans="2:12" x14ac:dyDescent="0.25">
      <c r="B200" s="19" t="s">
        <v>196</v>
      </c>
      <c r="C200" s="30">
        <v>13994.090728188999</v>
      </c>
      <c r="D200" s="31">
        <v>0.29296567099999998</v>
      </c>
      <c r="E200" s="22">
        <v>13994.090700000001</v>
      </c>
      <c r="F200" s="23">
        <v>0.16781970800000001</v>
      </c>
      <c r="G200" s="24">
        <f t="shared" si="12"/>
        <v>-2.0143501559031809E-9</v>
      </c>
      <c r="H200" s="25">
        <f t="shared" si="14"/>
        <v>1</v>
      </c>
      <c r="I200" s="26">
        <v>14956.8755</v>
      </c>
      <c r="J200" s="27">
        <v>2.894069E-3</v>
      </c>
      <c r="K200" s="28">
        <f t="shared" si="13"/>
        <v>6.8799380432171625E-2</v>
      </c>
      <c r="L200" s="29">
        <f t="shared" si="15"/>
        <v>0</v>
      </c>
    </row>
    <row r="201" spans="2:12" x14ac:dyDescent="0.25">
      <c r="B201" s="19" t="s">
        <v>197</v>
      </c>
      <c r="C201" s="30">
        <v>6230.9296162254004</v>
      </c>
      <c r="D201" s="31">
        <v>0.21204827800000001</v>
      </c>
      <c r="E201" s="22">
        <v>6230.9296000000004</v>
      </c>
      <c r="F201" s="23">
        <v>0.21362904299999999</v>
      </c>
      <c r="G201" s="24">
        <f t="shared" si="12"/>
        <v>-2.6040095187872402E-9</v>
      </c>
      <c r="H201" s="25">
        <f t="shared" si="14"/>
        <v>1</v>
      </c>
      <c r="I201" s="26">
        <v>7050.3638000000001</v>
      </c>
      <c r="J201" s="27">
        <v>3.5756640000000001E-3</v>
      </c>
      <c r="K201" s="28">
        <f t="shared" si="13"/>
        <v>0.13151074305843308</v>
      </c>
      <c r="L201" s="29">
        <f t="shared" si="15"/>
        <v>0</v>
      </c>
    </row>
    <row r="202" spans="2:12" x14ac:dyDescent="0.25">
      <c r="B202" s="19" t="s">
        <v>198</v>
      </c>
      <c r="C202" s="30">
        <v>8109.9301924463089</v>
      </c>
      <c r="D202" s="31">
        <v>0.30172299400000002</v>
      </c>
      <c r="E202" s="22">
        <v>8109.9301999999998</v>
      </c>
      <c r="F202" s="23">
        <v>0.19061299200000001</v>
      </c>
      <c r="G202" s="24">
        <f t="shared" si="12"/>
        <v>9.3141256971535088E-10</v>
      </c>
      <c r="H202" s="25">
        <f t="shared" si="14"/>
        <v>1</v>
      </c>
      <c r="I202" s="26">
        <v>9767.4308999999994</v>
      </c>
      <c r="J202" s="27">
        <v>3.6542129999999999E-3</v>
      </c>
      <c r="K202" s="28">
        <f t="shared" si="13"/>
        <v>0.20437915841711038</v>
      </c>
      <c r="L202" s="29">
        <f t="shared" si="15"/>
        <v>0</v>
      </c>
    </row>
    <row r="203" spans="2:12" x14ac:dyDescent="0.25">
      <c r="B203" s="19" t="s">
        <v>199</v>
      </c>
      <c r="C203" s="30">
        <v>5940.6637774363517</v>
      </c>
      <c r="D203" s="31">
        <v>0.22958182099999999</v>
      </c>
      <c r="E203" s="22">
        <v>5940.6638000000003</v>
      </c>
      <c r="F203" s="23">
        <v>0.20201567500000001</v>
      </c>
      <c r="G203" s="24">
        <f t="shared" si="12"/>
        <v>3.7981696060660643E-9</v>
      </c>
      <c r="H203" s="25">
        <f t="shared" si="14"/>
        <v>1</v>
      </c>
      <c r="I203" s="26">
        <v>7998.6522000000004</v>
      </c>
      <c r="J203" s="27">
        <v>4.2363599999999998E-3</v>
      </c>
      <c r="K203" s="28">
        <f t="shared" si="13"/>
        <v>0.34642398554522441</v>
      </c>
      <c r="L203" s="29">
        <f t="shared" si="15"/>
        <v>0</v>
      </c>
    </row>
    <row r="204" spans="2:12" x14ac:dyDescent="0.25">
      <c r="B204" s="19" t="s">
        <v>200</v>
      </c>
      <c r="C204" s="30">
        <v>5239.264685185186</v>
      </c>
      <c r="D204" s="31">
        <v>0.110234027</v>
      </c>
      <c r="E204" s="22">
        <v>5239.2646999999997</v>
      </c>
      <c r="F204" s="23">
        <v>0.229679411</v>
      </c>
      <c r="G204" s="24">
        <f t="shared" si="12"/>
        <v>2.8276513322093582E-9</v>
      </c>
      <c r="H204" s="25">
        <f t="shared" si="14"/>
        <v>1</v>
      </c>
      <c r="I204" s="26">
        <v>8041.1144000000004</v>
      </c>
      <c r="J204" s="27">
        <v>5.044003E-3</v>
      </c>
      <c r="K204" s="28">
        <f t="shared" si="13"/>
        <v>0.53477918814399061</v>
      </c>
      <c r="L204" s="29">
        <f t="shared" si="15"/>
        <v>0</v>
      </c>
    </row>
    <row r="205" spans="2:12" x14ac:dyDescent="0.25">
      <c r="B205" s="19" t="s">
        <v>201</v>
      </c>
      <c r="C205" s="30">
        <v>4071.8798161722993</v>
      </c>
      <c r="D205" s="31">
        <v>0.21448974800000001</v>
      </c>
      <c r="E205" s="22">
        <v>4071.8798000000002</v>
      </c>
      <c r="F205" s="23">
        <v>0.19593797099999999</v>
      </c>
      <c r="G205" s="24">
        <f t="shared" si="12"/>
        <v>-3.9717034670693564E-9</v>
      </c>
      <c r="H205" s="25">
        <f t="shared" si="14"/>
        <v>1</v>
      </c>
      <c r="I205" s="26">
        <v>4071.8798000000002</v>
      </c>
      <c r="J205" s="27">
        <v>4.4809200000000002E-3</v>
      </c>
      <c r="K205" s="28">
        <f t="shared" si="13"/>
        <v>-3.9717034670693564E-9</v>
      </c>
      <c r="L205" s="29">
        <f t="shared" si="15"/>
        <v>1</v>
      </c>
    </row>
    <row r="206" spans="2:12" x14ac:dyDescent="0.25">
      <c r="B206" s="19" t="s">
        <v>202</v>
      </c>
      <c r="C206" s="30">
        <v>6257.0258225008147</v>
      </c>
      <c r="D206" s="31">
        <v>0.17994360200000001</v>
      </c>
      <c r="E206" s="22">
        <v>6257.0258000000003</v>
      </c>
      <c r="F206" s="23">
        <v>0.22111694800000001</v>
      </c>
      <c r="G206" s="24">
        <f t="shared" si="12"/>
        <v>-3.596087818263443E-9</v>
      </c>
      <c r="H206" s="25">
        <f t="shared" si="14"/>
        <v>1</v>
      </c>
      <c r="I206" s="26">
        <v>13990.6826</v>
      </c>
      <c r="J206" s="27">
        <v>3.644984E-3</v>
      </c>
      <c r="K206" s="28">
        <f t="shared" si="13"/>
        <v>1.2359956626178967</v>
      </c>
      <c r="L206" s="29">
        <f t="shared" si="15"/>
        <v>0</v>
      </c>
    </row>
    <row r="207" spans="2:12" x14ac:dyDescent="0.25">
      <c r="B207" s="19" t="s">
        <v>203</v>
      </c>
      <c r="C207" s="30">
        <v>8617.9204763611997</v>
      </c>
      <c r="D207" s="31">
        <v>0.240871636</v>
      </c>
      <c r="E207" s="22">
        <v>8617.9205000000002</v>
      </c>
      <c r="F207" s="23">
        <v>0.20256682100000001</v>
      </c>
      <c r="G207" s="24">
        <f t="shared" si="12"/>
        <v>2.7429819699427978E-9</v>
      </c>
      <c r="H207" s="25">
        <f t="shared" si="14"/>
        <v>1</v>
      </c>
      <c r="I207" s="26">
        <v>8849.7473000000009</v>
      </c>
      <c r="J207" s="27">
        <v>2.0531220000000001E-3</v>
      </c>
      <c r="K207" s="28">
        <f t="shared" si="13"/>
        <v>2.6900552665193186E-2</v>
      </c>
      <c r="L207" s="29">
        <f t="shared" si="15"/>
        <v>0</v>
      </c>
    </row>
    <row r="208" spans="2:12" x14ac:dyDescent="0.25">
      <c r="B208" s="19" t="s">
        <v>204</v>
      </c>
      <c r="C208" s="30">
        <v>6084.7343667882997</v>
      </c>
      <c r="D208" s="31">
        <v>0.130885904</v>
      </c>
      <c r="E208" s="22">
        <v>6084.7344000000003</v>
      </c>
      <c r="F208" s="23">
        <v>0.26492258600000002</v>
      </c>
      <c r="G208" s="24">
        <f t="shared" si="12"/>
        <v>5.4582005735973E-9</v>
      </c>
      <c r="H208" s="25">
        <f t="shared" si="14"/>
        <v>1</v>
      </c>
      <c r="I208" s="26">
        <v>15260.732099999999</v>
      </c>
      <c r="J208" s="27">
        <v>2.2379600000000002E-3</v>
      </c>
      <c r="K208" s="28">
        <f t="shared" si="13"/>
        <v>1.5080358779992329</v>
      </c>
      <c r="L208" s="29">
        <f t="shared" si="15"/>
        <v>0</v>
      </c>
    </row>
    <row r="209" spans="2:12" x14ac:dyDescent="0.25">
      <c r="B209" s="19" t="s">
        <v>205</v>
      </c>
      <c r="C209" s="30">
        <v>11693.3535270884</v>
      </c>
      <c r="D209" s="31">
        <v>0.27605924799999998</v>
      </c>
      <c r="E209" s="22">
        <v>11693.353499999999</v>
      </c>
      <c r="F209" s="23">
        <v>0.227846457</v>
      </c>
      <c r="G209" s="24">
        <f t="shared" si="12"/>
        <v>-2.3165639394027817E-9</v>
      </c>
      <c r="H209" s="25">
        <f t="shared" si="14"/>
        <v>1</v>
      </c>
      <c r="I209" s="26">
        <v>19292.5092</v>
      </c>
      <c r="J209" s="27">
        <v>2.290219E-3</v>
      </c>
      <c r="K209" s="28">
        <f t="shared" si="13"/>
        <v>0.64986965931609531</v>
      </c>
      <c r="L209" s="29">
        <f t="shared" si="15"/>
        <v>0</v>
      </c>
    </row>
    <row r="210" spans="2:12" x14ac:dyDescent="0.25">
      <c r="B210" s="19" t="s">
        <v>206</v>
      </c>
      <c r="C210" s="30">
        <v>8621.0101258749</v>
      </c>
      <c r="D210" s="31">
        <v>0.188045293</v>
      </c>
      <c r="E210" s="22">
        <v>8621.0100999999995</v>
      </c>
      <c r="F210" s="23">
        <v>0.29419131100000001</v>
      </c>
      <c r="G210" s="24">
        <f t="shared" si="12"/>
        <v>-3.0013768864605374E-9</v>
      </c>
      <c r="H210" s="25">
        <f t="shared" si="14"/>
        <v>1</v>
      </c>
      <c r="I210" s="26">
        <v>10605.548199999999</v>
      </c>
      <c r="J210" s="27">
        <v>2.252698E-3</v>
      </c>
      <c r="K210" s="28">
        <f t="shared" si="13"/>
        <v>0.23019785908483656</v>
      </c>
      <c r="L210" s="29">
        <f t="shared" si="15"/>
        <v>0</v>
      </c>
    </row>
    <row r="211" spans="2:12" x14ac:dyDescent="0.25">
      <c r="B211" s="19" t="s">
        <v>207</v>
      </c>
      <c r="C211" s="30">
        <v>12119.446905067674</v>
      </c>
      <c r="D211" s="31">
        <v>0.12028720699999999</v>
      </c>
      <c r="E211" s="22">
        <v>12119.446900000001</v>
      </c>
      <c r="F211" s="23">
        <v>9.1989726999999993E-2</v>
      </c>
      <c r="G211" s="24">
        <f t="shared" si="12"/>
        <v>-4.1814396276944606E-10</v>
      </c>
      <c r="H211" s="25">
        <f t="shared" si="14"/>
        <v>1</v>
      </c>
      <c r="I211" s="26">
        <v>13314.692499999999</v>
      </c>
      <c r="J211" s="27">
        <v>2.4058980000000001E-3</v>
      </c>
      <c r="K211" s="28">
        <f t="shared" si="13"/>
        <v>9.8622123954562643E-2</v>
      </c>
      <c r="L211" s="29">
        <f t="shared" si="15"/>
        <v>0</v>
      </c>
    </row>
    <row r="212" spans="2:12" x14ac:dyDescent="0.25">
      <c r="B212" s="19" t="s">
        <v>208</v>
      </c>
      <c r="C212" s="30">
        <v>14363.265703895246</v>
      </c>
      <c r="D212" s="31">
        <v>0.119489258</v>
      </c>
      <c r="E212" s="22">
        <v>14363.2657</v>
      </c>
      <c r="F212" s="23">
        <v>9.2227984999999998E-2</v>
      </c>
      <c r="G212" s="24">
        <f t="shared" si="12"/>
        <v>-2.7119499386107201E-10</v>
      </c>
      <c r="H212" s="25">
        <f t="shared" si="14"/>
        <v>1</v>
      </c>
      <c r="I212" s="26">
        <v>14363.2657</v>
      </c>
      <c r="J212" s="27">
        <v>1.6439810000000001E-3</v>
      </c>
      <c r="K212" s="28">
        <f t="shared" si="13"/>
        <v>-2.7119499386107201E-10</v>
      </c>
      <c r="L212" s="29">
        <f t="shared" si="15"/>
        <v>1</v>
      </c>
    </row>
    <row r="213" spans="2:12" x14ac:dyDescent="0.25">
      <c r="B213" s="19" t="s">
        <v>209</v>
      </c>
      <c r="C213" s="30">
        <v>11557.32704844265</v>
      </c>
      <c r="D213" s="31">
        <v>0.12014445999999999</v>
      </c>
      <c r="E213" s="22">
        <v>11557.326999999999</v>
      </c>
      <c r="F213" s="23">
        <v>0.14360416200000001</v>
      </c>
      <c r="G213" s="24">
        <f t="shared" si="12"/>
        <v>-4.1915099180906349E-9</v>
      </c>
      <c r="H213" s="25">
        <f t="shared" si="14"/>
        <v>1</v>
      </c>
      <c r="I213" s="26">
        <v>11557.326999999999</v>
      </c>
      <c r="J213" s="27">
        <v>1.400943E-3</v>
      </c>
      <c r="K213" s="28">
        <f t="shared" si="13"/>
        <v>-4.1915099180906349E-9</v>
      </c>
      <c r="L213" s="29">
        <f t="shared" si="15"/>
        <v>1</v>
      </c>
    </row>
    <row r="214" spans="2:12" x14ac:dyDescent="0.25">
      <c r="B214" s="19" t="s">
        <v>210</v>
      </c>
      <c r="C214" s="30">
        <v>13857.385882561352</v>
      </c>
      <c r="D214" s="31">
        <v>0.210675898</v>
      </c>
      <c r="E214" s="22">
        <v>13857.385899999999</v>
      </c>
      <c r="F214" s="23">
        <v>0.160525789</v>
      </c>
      <c r="G214" s="24">
        <f t="shared" si="12"/>
        <v>1.2584370473337803E-9</v>
      </c>
      <c r="H214" s="25">
        <f t="shared" si="14"/>
        <v>1</v>
      </c>
      <c r="I214" s="26">
        <v>14006.29</v>
      </c>
      <c r="J214" s="27">
        <v>1.4275430000000001E-3</v>
      </c>
      <c r="K214" s="28">
        <f t="shared" si="13"/>
        <v>1.0745469506339995E-2</v>
      </c>
      <c r="L214" s="29">
        <f t="shared" si="15"/>
        <v>0</v>
      </c>
    </row>
    <row r="215" spans="2:12" x14ac:dyDescent="0.25">
      <c r="B215" s="19" t="s">
        <v>211</v>
      </c>
      <c r="C215" s="30">
        <v>17406.657134492601</v>
      </c>
      <c r="D215" s="31">
        <v>0.34304467999999999</v>
      </c>
      <c r="E215" s="22">
        <v>17406.6571</v>
      </c>
      <c r="F215" s="23">
        <v>0.15171511700000001</v>
      </c>
      <c r="G215" s="24">
        <f t="shared" si="12"/>
        <v>-1.9815752588303613E-9</v>
      </c>
      <c r="H215" s="25">
        <f t="shared" si="14"/>
        <v>1</v>
      </c>
      <c r="I215" s="26">
        <v>18418.624199999998</v>
      </c>
      <c r="J215" s="27">
        <v>1.7584670000000001E-3</v>
      </c>
      <c r="K215" s="28">
        <f t="shared" si="13"/>
        <v>5.8136783972271622E-2</v>
      </c>
      <c r="L215" s="29">
        <f t="shared" si="15"/>
        <v>0</v>
      </c>
    </row>
    <row r="216" spans="2:12" x14ac:dyDescent="0.25">
      <c r="B216" s="19" t="s">
        <v>212</v>
      </c>
      <c r="C216" s="30">
        <v>20217.879949289243</v>
      </c>
      <c r="D216" s="31">
        <v>0.20109297200000001</v>
      </c>
      <c r="E216" s="22">
        <v>20217.8799</v>
      </c>
      <c r="F216" s="23">
        <v>0.14893150599999999</v>
      </c>
      <c r="G216" s="24">
        <f t="shared" si="12"/>
        <v>-2.4379036428647011E-9</v>
      </c>
      <c r="H216" s="25">
        <f t="shared" si="14"/>
        <v>1</v>
      </c>
      <c r="I216" s="26">
        <v>20266.1558</v>
      </c>
      <c r="J216" s="27">
        <v>1.0900549999999999E-3</v>
      </c>
      <c r="K216" s="28">
        <f t="shared" si="13"/>
        <v>2.3877800655579865E-3</v>
      </c>
      <c r="L216" s="29">
        <f t="shared" si="15"/>
        <v>0</v>
      </c>
    </row>
    <row r="217" spans="2:12" x14ac:dyDescent="0.25">
      <c r="B217" s="19" t="s">
        <v>213</v>
      </c>
      <c r="C217" s="30">
        <v>15861.918031086096</v>
      </c>
      <c r="D217" s="31">
        <v>0.194632689</v>
      </c>
      <c r="E217" s="22">
        <v>15861.918</v>
      </c>
      <c r="F217" s="23">
        <v>0.10094552</v>
      </c>
      <c r="G217" s="24">
        <f t="shared" si="12"/>
        <v>-1.9597942648674826E-9</v>
      </c>
      <c r="H217" s="25">
        <f t="shared" si="14"/>
        <v>1</v>
      </c>
      <c r="I217" s="26">
        <v>18926.4702</v>
      </c>
      <c r="J217" s="27">
        <v>1.1470230000000001E-3</v>
      </c>
      <c r="K217" s="28">
        <f t="shared" si="13"/>
        <v>0.19320186643935572</v>
      </c>
      <c r="L217" s="29">
        <f t="shared" si="15"/>
        <v>0</v>
      </c>
    </row>
    <row r="218" spans="2:12" x14ac:dyDescent="0.25">
      <c r="B218" s="19" t="s">
        <v>214</v>
      </c>
      <c r="C218" s="30">
        <v>25018.002412933394</v>
      </c>
      <c r="D218" s="31">
        <v>0.43173417600000003</v>
      </c>
      <c r="E218" s="22">
        <v>25018.002400000001</v>
      </c>
      <c r="F218" s="23">
        <v>0.111551727</v>
      </c>
      <c r="G218" s="24">
        <f t="shared" si="12"/>
        <v>-5.1696345677546525E-10</v>
      </c>
      <c r="H218" s="25">
        <f t="shared" si="14"/>
        <v>1</v>
      </c>
      <c r="I218" s="26">
        <v>26657.638599999998</v>
      </c>
      <c r="J218" s="27">
        <v>1.4929749999999999E-3</v>
      </c>
      <c r="K218" s="28">
        <f t="shared" si="13"/>
        <v>6.5538253614484107E-2</v>
      </c>
      <c r="L218" s="29">
        <f t="shared" si="15"/>
        <v>0</v>
      </c>
    </row>
    <row r="219" spans="2:12" x14ac:dyDescent="0.25">
      <c r="B219" s="19" t="s">
        <v>215</v>
      </c>
      <c r="C219" s="30">
        <v>19016.6629922592</v>
      </c>
      <c r="D219" s="31">
        <v>0.529080777</v>
      </c>
      <c r="E219" s="22">
        <v>19016.663</v>
      </c>
      <c r="F219" s="23">
        <v>9.6475357999999997E-2</v>
      </c>
      <c r="G219" s="24">
        <f t="shared" si="12"/>
        <v>4.0705355926065945E-10</v>
      </c>
      <c r="H219" s="25">
        <f t="shared" si="14"/>
        <v>1</v>
      </c>
      <c r="I219" s="26">
        <v>19016.663</v>
      </c>
      <c r="J219" s="27">
        <v>1.148306E-3</v>
      </c>
      <c r="K219" s="28">
        <f t="shared" si="13"/>
        <v>4.0705355926065945E-10</v>
      </c>
      <c r="L219" s="29">
        <f t="shared" si="15"/>
        <v>1</v>
      </c>
    </row>
    <row r="220" spans="2:12" x14ac:dyDescent="0.25">
      <c r="B220" s="19" t="s">
        <v>216</v>
      </c>
      <c r="C220" s="30">
        <v>18647.631579467368</v>
      </c>
      <c r="D220" s="31">
        <v>0.45626695900000003</v>
      </c>
      <c r="E220" s="22">
        <v>18647.631600000001</v>
      </c>
      <c r="F220" s="23">
        <v>9.8787583999999998E-2</v>
      </c>
      <c r="G220" s="24">
        <f t="shared" si="12"/>
        <v>1.1010852636392265E-9</v>
      </c>
      <c r="H220" s="25">
        <f t="shared" si="14"/>
        <v>1</v>
      </c>
      <c r="I220" s="26">
        <v>20908.370999999999</v>
      </c>
      <c r="J220" s="27">
        <v>1.0781040000000001E-3</v>
      </c>
      <c r="K220" s="28">
        <f t="shared" si="13"/>
        <v>0.12123466783963588</v>
      </c>
      <c r="L220" s="29">
        <f t="shared" si="15"/>
        <v>0</v>
      </c>
    </row>
    <row r="221" spans="2:12" x14ac:dyDescent="0.25">
      <c r="B221" s="19" t="s">
        <v>217</v>
      </c>
      <c r="C221" s="30">
        <v>9205.4424032230763</v>
      </c>
      <c r="D221" s="31">
        <v>0.11961238</v>
      </c>
      <c r="E221" s="22">
        <v>9205.4423999999999</v>
      </c>
      <c r="F221" s="23">
        <v>0.13101175400000001</v>
      </c>
      <c r="G221" s="24">
        <f t="shared" si="12"/>
        <v>-3.5012727014200142E-10</v>
      </c>
      <c r="H221" s="25">
        <f t="shared" si="14"/>
        <v>1</v>
      </c>
      <c r="I221" s="26">
        <v>14315.68</v>
      </c>
      <c r="J221" s="27">
        <v>1.958474E-3</v>
      </c>
      <c r="K221" s="28">
        <f t="shared" si="13"/>
        <v>0.55513221124361067</v>
      </c>
      <c r="L221" s="29">
        <f t="shared" si="15"/>
        <v>0</v>
      </c>
    </row>
    <row r="222" spans="2:12" x14ac:dyDescent="0.25">
      <c r="B222" s="19" t="s">
        <v>218</v>
      </c>
      <c r="C222" s="30">
        <v>13058.514687924669</v>
      </c>
      <c r="D222" s="31">
        <v>0.350801645</v>
      </c>
      <c r="E222" s="22">
        <v>13058.5147</v>
      </c>
      <c r="F222" s="23">
        <v>0.112617229</v>
      </c>
      <c r="G222" s="24">
        <f t="shared" si="12"/>
        <v>9.2470931964302791E-10</v>
      </c>
      <c r="H222" s="25">
        <f t="shared" si="14"/>
        <v>1</v>
      </c>
      <c r="I222" s="26">
        <v>14808.3946</v>
      </c>
      <c r="J222" s="27">
        <v>1.446829E-3</v>
      </c>
      <c r="K222" s="28">
        <f t="shared" si="13"/>
        <v>0.13400298226056753</v>
      </c>
      <c r="L222" s="29">
        <f t="shared" si="15"/>
        <v>0</v>
      </c>
    </row>
    <row r="223" spans="2:12" x14ac:dyDescent="0.25">
      <c r="B223" s="19" t="s">
        <v>219</v>
      </c>
      <c r="C223" s="30">
        <v>12734.011681405609</v>
      </c>
      <c r="D223" s="31">
        <v>0.20445079599999999</v>
      </c>
      <c r="E223" s="22">
        <v>12734.011699999999</v>
      </c>
      <c r="F223" s="23">
        <v>9.5417749999999996E-2</v>
      </c>
      <c r="G223" s="24">
        <f t="shared" si="12"/>
        <v>1.4602146165952143E-9</v>
      </c>
      <c r="H223" s="25">
        <f t="shared" si="14"/>
        <v>1</v>
      </c>
      <c r="I223" s="26">
        <v>15360.353300000001</v>
      </c>
      <c r="J223" s="27">
        <v>1.46324E-3</v>
      </c>
      <c r="K223" s="28">
        <f t="shared" si="13"/>
        <v>0.20624620773902808</v>
      </c>
      <c r="L223" s="29">
        <f t="shared" si="15"/>
        <v>0</v>
      </c>
    </row>
    <row r="224" spans="2:12" x14ac:dyDescent="0.25">
      <c r="B224" s="19" t="s">
        <v>220</v>
      </c>
      <c r="C224" s="30">
        <v>20881.165397221095</v>
      </c>
      <c r="D224" s="31">
        <v>0.36495525400000001</v>
      </c>
      <c r="E224" s="22">
        <v>20881.165400000002</v>
      </c>
      <c r="F224" s="23">
        <v>0.11002537699999999</v>
      </c>
      <c r="G224" s="24">
        <f t="shared" si="12"/>
        <v>1.3308196351698349E-10</v>
      </c>
      <c r="H224" s="25">
        <f t="shared" si="14"/>
        <v>1</v>
      </c>
      <c r="I224" s="26">
        <v>26438.613499999999</v>
      </c>
      <c r="J224" s="27">
        <v>1.6484399999999999E-3</v>
      </c>
      <c r="K224" s="28">
        <f t="shared" si="13"/>
        <v>0.26614645289474598</v>
      </c>
      <c r="L224" s="29">
        <f t="shared" si="15"/>
        <v>0</v>
      </c>
    </row>
    <row r="225" spans="2:12" x14ac:dyDescent="0.25">
      <c r="B225" s="19" t="s">
        <v>221</v>
      </c>
      <c r="C225" s="30">
        <v>13756.532648288452</v>
      </c>
      <c r="D225" s="31">
        <v>0.35230141399999998</v>
      </c>
      <c r="E225" s="22">
        <v>13756.5326</v>
      </c>
      <c r="F225" s="23">
        <v>0.12603647200000001</v>
      </c>
      <c r="G225" s="24">
        <f t="shared" si="12"/>
        <v>-3.5102196763553679E-9</v>
      </c>
      <c r="H225" s="25">
        <f t="shared" si="14"/>
        <v>1</v>
      </c>
      <c r="I225" s="26">
        <v>18445.116000000002</v>
      </c>
      <c r="J225" s="27">
        <v>1.8764789999999999E-3</v>
      </c>
      <c r="K225" s="28">
        <f t="shared" si="13"/>
        <v>0.34082595313688219</v>
      </c>
      <c r="L225" s="29">
        <f t="shared" si="15"/>
        <v>0</v>
      </c>
    </row>
    <row r="226" spans="2:12" x14ac:dyDescent="0.25">
      <c r="B226" s="19" t="s">
        <v>222</v>
      </c>
      <c r="C226" s="30">
        <v>15659.621082171003</v>
      </c>
      <c r="D226" s="31">
        <v>0.28454579499999999</v>
      </c>
      <c r="E226" s="22">
        <v>15659.6211</v>
      </c>
      <c r="F226" s="23">
        <v>0.12801500099999999</v>
      </c>
      <c r="G226" s="24">
        <f t="shared" si="12"/>
        <v>1.1385331323978811E-9</v>
      </c>
      <c r="H226" s="25">
        <f t="shared" si="14"/>
        <v>1</v>
      </c>
      <c r="I226" s="26">
        <v>16525.466</v>
      </c>
      <c r="J226" s="27">
        <v>1.5347449999999999E-3</v>
      </c>
      <c r="K226" s="28">
        <f t="shared" si="13"/>
        <v>5.5291562502415244E-2</v>
      </c>
      <c r="L226" s="29">
        <f t="shared" si="15"/>
        <v>0</v>
      </c>
    </row>
    <row r="227" spans="2:12" x14ac:dyDescent="0.25">
      <c r="B227" s="19" t="s">
        <v>223</v>
      </c>
      <c r="C227" s="30">
        <v>17909.424495915402</v>
      </c>
      <c r="D227" s="31">
        <v>0.27417717200000002</v>
      </c>
      <c r="E227" s="22">
        <v>17909.424500000001</v>
      </c>
      <c r="F227" s="23">
        <v>0.111888128</v>
      </c>
      <c r="G227" s="24">
        <f t="shared" si="12"/>
        <v>2.2806980281553478E-10</v>
      </c>
      <c r="H227" s="25">
        <f t="shared" si="14"/>
        <v>1</v>
      </c>
      <c r="I227" s="26">
        <v>19040.664199999999</v>
      </c>
      <c r="J227" s="27">
        <v>1.37312E-3</v>
      </c>
      <c r="K227" s="28">
        <f t="shared" si="13"/>
        <v>6.3164492211494491E-2</v>
      </c>
      <c r="L227" s="29">
        <f t="shared" si="15"/>
        <v>0</v>
      </c>
    </row>
    <row r="228" spans="2:12" x14ac:dyDescent="0.25">
      <c r="B228" s="19" t="s">
        <v>224</v>
      </c>
      <c r="C228" s="30">
        <v>16268.516482412197</v>
      </c>
      <c r="D228" s="31">
        <v>0.38669372200000002</v>
      </c>
      <c r="E228" s="22">
        <v>16268.5165</v>
      </c>
      <c r="F228" s="23">
        <v>0.116686557</v>
      </c>
      <c r="G228" s="24">
        <f t="shared" si="12"/>
        <v>1.0810944627268721E-9</v>
      </c>
      <c r="H228" s="25">
        <f t="shared" si="14"/>
        <v>1</v>
      </c>
      <c r="I228" s="26">
        <v>16274.6967</v>
      </c>
      <c r="J228" s="27">
        <v>1.3292379999999999E-3</v>
      </c>
      <c r="K228" s="28">
        <f t="shared" si="13"/>
        <v>3.7988820889017018E-4</v>
      </c>
      <c r="L228" s="29">
        <f t="shared" si="15"/>
        <v>0</v>
      </c>
    </row>
    <row r="229" spans="2:12" x14ac:dyDescent="0.25">
      <c r="B229" s="19" t="s">
        <v>225</v>
      </c>
      <c r="C229" s="30">
        <v>13117.684770942098</v>
      </c>
      <c r="D229" s="31">
        <v>0.346421702</v>
      </c>
      <c r="E229" s="22">
        <v>13117.684800000001</v>
      </c>
      <c r="F229" s="23">
        <v>0.13717768299999999</v>
      </c>
      <c r="G229" s="24">
        <f t="shared" si="12"/>
        <v>2.2151700776993641E-9</v>
      </c>
      <c r="H229" s="25">
        <f t="shared" si="14"/>
        <v>1</v>
      </c>
      <c r="I229" s="26">
        <v>13117.684800000001</v>
      </c>
      <c r="J229" s="27">
        <v>1.2859939999999999E-3</v>
      </c>
      <c r="K229" s="28">
        <f t="shared" si="13"/>
        <v>2.2151700776993641E-9</v>
      </c>
      <c r="L229" s="29">
        <f t="shared" si="15"/>
        <v>1</v>
      </c>
    </row>
    <row r="230" spans="2:12" x14ac:dyDescent="0.25">
      <c r="B230" s="19" t="s">
        <v>226</v>
      </c>
      <c r="C230" s="30">
        <v>16524.097255190398</v>
      </c>
      <c r="D230" s="31">
        <v>0.28928121699999998</v>
      </c>
      <c r="E230" s="22">
        <v>16524.097300000001</v>
      </c>
      <c r="F230" s="23">
        <v>0.119557123</v>
      </c>
      <c r="G230" s="24">
        <f t="shared" si="12"/>
        <v>2.7117731596060809E-9</v>
      </c>
      <c r="H230" s="25">
        <f t="shared" si="14"/>
        <v>1</v>
      </c>
      <c r="I230" s="26">
        <v>21757.627899999999</v>
      </c>
      <c r="J230" s="27">
        <v>1.669357E-3</v>
      </c>
      <c r="K230" s="28">
        <f t="shared" si="13"/>
        <v>0.31672112333795982</v>
      </c>
      <c r="L230" s="29">
        <f t="shared" si="15"/>
        <v>0</v>
      </c>
    </row>
    <row r="231" spans="2:12" x14ac:dyDescent="0.25">
      <c r="B231" s="19" t="s">
        <v>227</v>
      </c>
      <c r="C231" s="30">
        <v>9291.64061281865</v>
      </c>
      <c r="D231" s="31">
        <v>0.26369171899999999</v>
      </c>
      <c r="E231" s="22">
        <v>9291.6406000000006</v>
      </c>
      <c r="F231" s="23">
        <v>0.132065605</v>
      </c>
      <c r="G231" s="24">
        <f t="shared" si="12"/>
        <v>-1.3795894473961279E-9</v>
      </c>
      <c r="H231" s="25">
        <f t="shared" si="14"/>
        <v>1</v>
      </c>
      <c r="I231" s="26">
        <v>10703.499299999999</v>
      </c>
      <c r="J231" s="27">
        <v>2.0075459999999998E-3</v>
      </c>
      <c r="K231" s="28">
        <f t="shared" si="13"/>
        <v>0.15194934307226263</v>
      </c>
      <c r="L231" s="29">
        <f t="shared" si="15"/>
        <v>0</v>
      </c>
    </row>
    <row r="232" spans="2:12" x14ac:dyDescent="0.25">
      <c r="B232" s="19" t="s">
        <v>228</v>
      </c>
      <c r="C232" s="30">
        <v>13107.510380151549</v>
      </c>
      <c r="D232" s="31">
        <v>0.27051843399999997</v>
      </c>
      <c r="E232" s="22">
        <v>13107.510399999999</v>
      </c>
      <c r="F232" s="23">
        <v>0.149459429</v>
      </c>
      <c r="G232" s="24">
        <f t="shared" si="12"/>
        <v>1.5142807304320131E-9</v>
      </c>
      <c r="H232" s="25">
        <f t="shared" si="14"/>
        <v>1</v>
      </c>
      <c r="I232" s="26">
        <v>15576.601699999999</v>
      </c>
      <c r="J232" s="27">
        <v>1.8603789999999999E-3</v>
      </c>
      <c r="K232" s="28">
        <f t="shared" si="13"/>
        <v>0.18837225744923675</v>
      </c>
      <c r="L232" s="29">
        <f t="shared" si="15"/>
        <v>0</v>
      </c>
    </row>
    <row r="233" spans="2:12" x14ac:dyDescent="0.25">
      <c r="B233" s="19" t="s">
        <v>229</v>
      </c>
      <c r="C233" s="30">
        <v>8437.7179065910004</v>
      </c>
      <c r="D233" s="31">
        <v>0.31847292900000002</v>
      </c>
      <c r="E233" s="22">
        <v>8437.7178999999996</v>
      </c>
      <c r="F233" s="23">
        <v>0.120984967</v>
      </c>
      <c r="G233" s="24">
        <f t="shared" si="12"/>
        <v>-7.8113547482135397E-10</v>
      </c>
      <c r="H233" s="25">
        <f t="shared" si="14"/>
        <v>1</v>
      </c>
      <c r="I233" s="26">
        <v>11997.2642</v>
      </c>
      <c r="J233" s="27">
        <v>2.019659E-3</v>
      </c>
      <c r="K233" s="28">
        <f t="shared" si="13"/>
        <v>0.4218612583182606</v>
      </c>
      <c r="L233" s="29">
        <f t="shared" si="15"/>
        <v>0</v>
      </c>
    </row>
    <row r="234" spans="2:12" x14ac:dyDescent="0.25">
      <c r="B234" s="19" t="s">
        <v>230</v>
      </c>
      <c r="C234" s="30">
        <v>5837.096472136499</v>
      </c>
      <c r="D234" s="31">
        <v>0.112695237</v>
      </c>
      <c r="E234" s="22">
        <v>5837.0964999999997</v>
      </c>
      <c r="F234" s="23">
        <v>0.139756721</v>
      </c>
      <c r="G234" s="24">
        <f t="shared" si="12"/>
        <v>4.7735206748312213E-9</v>
      </c>
      <c r="H234" s="25">
        <f t="shared" si="14"/>
        <v>1</v>
      </c>
      <c r="I234" s="26">
        <v>10160.314899999999</v>
      </c>
      <c r="J234" s="27">
        <v>1.821144E-3</v>
      </c>
      <c r="K234" s="28">
        <f t="shared" si="13"/>
        <v>0.74064536169660267</v>
      </c>
      <c r="L234" s="29">
        <f t="shared" si="15"/>
        <v>0</v>
      </c>
    </row>
    <row r="235" spans="2:12" x14ac:dyDescent="0.25">
      <c r="B235" s="19" t="s">
        <v>231</v>
      </c>
      <c r="C235" s="30">
        <v>13693.284632921199</v>
      </c>
      <c r="D235" s="31">
        <v>0.242572597</v>
      </c>
      <c r="E235" s="22">
        <v>13693.284600000001</v>
      </c>
      <c r="F235" s="23">
        <v>0.14153726799999999</v>
      </c>
      <c r="G235" s="24">
        <f t="shared" si="12"/>
        <v>-2.4041856195448121E-9</v>
      </c>
      <c r="H235" s="25">
        <f t="shared" si="14"/>
        <v>1</v>
      </c>
      <c r="I235" s="26">
        <v>14770.7255</v>
      </c>
      <c r="J235" s="27">
        <v>1.552447E-3</v>
      </c>
      <c r="K235" s="28">
        <f t="shared" si="13"/>
        <v>7.8683887464694457E-2</v>
      </c>
      <c r="L235" s="29">
        <f t="shared" si="15"/>
        <v>0</v>
      </c>
    </row>
    <row r="236" spans="2:12" x14ac:dyDescent="0.25">
      <c r="B236" s="19" t="s">
        <v>232</v>
      </c>
      <c r="C236" s="30">
        <v>9770.4783214682993</v>
      </c>
      <c r="D236" s="31">
        <v>0.34735826199999997</v>
      </c>
      <c r="E236" s="22">
        <v>9770.4783000000007</v>
      </c>
      <c r="F236" s="23">
        <v>0.149812421</v>
      </c>
      <c r="G236" s="24">
        <f t="shared" si="12"/>
        <v>-2.1972617868732861E-9</v>
      </c>
      <c r="H236" s="25">
        <f t="shared" si="14"/>
        <v>1</v>
      </c>
      <c r="I236" s="26">
        <v>10097.100399999999</v>
      </c>
      <c r="J236" s="27">
        <v>1.5964519999999999E-3</v>
      </c>
      <c r="K236" s="28">
        <f t="shared" si="13"/>
        <v>3.342948705121486E-2</v>
      </c>
      <c r="L236" s="29">
        <f t="shared" si="15"/>
        <v>0</v>
      </c>
    </row>
    <row r="237" spans="2:12" x14ac:dyDescent="0.25">
      <c r="B237" s="19" t="s">
        <v>233</v>
      </c>
      <c r="C237" s="30">
        <v>13451.726274148999</v>
      </c>
      <c r="D237" s="31">
        <v>0.330275859</v>
      </c>
      <c r="E237" s="22">
        <v>13451.7263</v>
      </c>
      <c r="F237" s="23">
        <v>0.12894631100000001</v>
      </c>
      <c r="G237" s="24">
        <f t="shared" si="12"/>
        <v>1.9217608432643639E-9</v>
      </c>
      <c r="H237" s="25">
        <f t="shared" si="14"/>
        <v>1</v>
      </c>
      <c r="I237" s="26">
        <v>14692.7592</v>
      </c>
      <c r="J237" s="27">
        <v>1.3032580000000001E-3</v>
      </c>
      <c r="K237" s="28">
        <f t="shared" si="13"/>
        <v>9.2258264891694197E-2</v>
      </c>
      <c r="L237" s="29">
        <f t="shared" si="15"/>
        <v>0</v>
      </c>
    </row>
    <row r="238" spans="2:12" x14ac:dyDescent="0.25">
      <c r="B238" s="19" t="s">
        <v>234</v>
      </c>
      <c r="C238" s="30">
        <v>12659.683207898002</v>
      </c>
      <c r="D238" s="31">
        <v>0.30091225500000002</v>
      </c>
      <c r="E238" s="22">
        <v>12659.683199999999</v>
      </c>
      <c r="F238" s="23">
        <v>0.186648651</v>
      </c>
      <c r="G238" s="24">
        <f t="shared" si="12"/>
        <v>-6.2387049879375197E-10</v>
      </c>
      <c r="H238" s="25">
        <f t="shared" si="14"/>
        <v>1</v>
      </c>
      <c r="I238" s="26">
        <v>16464.6378</v>
      </c>
      <c r="J238" s="27">
        <v>1.2025779999999999E-3</v>
      </c>
      <c r="K238" s="28">
        <f t="shared" si="13"/>
        <v>0.30055685672515087</v>
      </c>
      <c r="L238" s="29">
        <f t="shared" si="15"/>
        <v>0</v>
      </c>
    </row>
    <row r="239" spans="2:12" x14ac:dyDescent="0.25">
      <c r="B239" s="19" t="s">
        <v>235</v>
      </c>
      <c r="C239" s="30">
        <v>19021.038691442001</v>
      </c>
      <c r="D239" s="31">
        <v>0.35158694400000001</v>
      </c>
      <c r="E239" s="22">
        <v>19021.038700000001</v>
      </c>
      <c r="F239" s="23">
        <v>0.17517253899999999</v>
      </c>
      <c r="G239" s="24">
        <f t="shared" si="12"/>
        <v>4.4992282884882724E-10</v>
      </c>
      <c r="H239" s="25">
        <f t="shared" si="14"/>
        <v>1</v>
      </c>
      <c r="I239" s="26">
        <v>23045.841</v>
      </c>
      <c r="J239" s="27">
        <v>1.303238E-3</v>
      </c>
      <c r="K239" s="28">
        <f t="shared" si="13"/>
        <v>0.21159739874609734</v>
      </c>
      <c r="L239" s="29">
        <f t="shared" si="15"/>
        <v>0</v>
      </c>
    </row>
    <row r="240" spans="2:12" x14ac:dyDescent="0.25">
      <c r="B240" s="19" t="s">
        <v>236</v>
      </c>
      <c r="C240" s="30">
        <v>13455.636239109699</v>
      </c>
      <c r="D240" s="31">
        <v>0.22017841599999999</v>
      </c>
      <c r="E240" s="22">
        <v>13455.636200000001</v>
      </c>
      <c r="F240" s="23">
        <v>0.15908920900000001</v>
      </c>
      <c r="G240" s="24">
        <f t="shared" si="12"/>
        <v>-2.9065662573616075E-9</v>
      </c>
      <c r="H240" s="25">
        <f t="shared" si="14"/>
        <v>1</v>
      </c>
      <c r="I240" s="26">
        <v>17741.160400000001</v>
      </c>
      <c r="J240" s="27">
        <v>1.602352E-3</v>
      </c>
      <c r="K240" s="28">
        <f t="shared" si="13"/>
        <v>0.31849286683554517</v>
      </c>
      <c r="L240" s="29">
        <f t="shared" si="15"/>
        <v>0</v>
      </c>
    </row>
    <row r="241" spans="2:12" x14ac:dyDescent="0.25">
      <c r="B241" s="19" t="s">
        <v>237</v>
      </c>
      <c r="C241" s="30">
        <v>5048.2315456526021</v>
      </c>
      <c r="D241" s="31">
        <v>0.19018982700000001</v>
      </c>
      <c r="E241" s="22">
        <v>5048.2314999999999</v>
      </c>
      <c r="F241" s="23">
        <v>0.20705016700000001</v>
      </c>
      <c r="G241" s="24">
        <f t="shared" si="12"/>
        <v>-9.0432861143825306E-9</v>
      </c>
      <c r="H241" s="25">
        <f t="shared" si="14"/>
        <v>1</v>
      </c>
      <c r="I241" s="26">
        <v>5048.2314999999999</v>
      </c>
      <c r="J241" s="27">
        <v>2.09442E-3</v>
      </c>
      <c r="K241" s="28">
        <f t="shared" si="13"/>
        <v>-9.0432861143825306E-9</v>
      </c>
      <c r="L241" s="29">
        <f t="shared" si="15"/>
        <v>1</v>
      </c>
    </row>
    <row r="242" spans="2:12" x14ac:dyDescent="0.25">
      <c r="B242" s="19" t="s">
        <v>238</v>
      </c>
      <c r="C242" s="30">
        <v>10139.711430726502</v>
      </c>
      <c r="D242" s="31">
        <v>0.28064299999999998</v>
      </c>
      <c r="E242" s="22">
        <v>10139.7114</v>
      </c>
      <c r="F242" s="23">
        <v>0.19830498999999999</v>
      </c>
      <c r="G242" s="24">
        <f t="shared" si="12"/>
        <v>-3.0303132392714983E-9</v>
      </c>
      <c r="H242" s="25">
        <f t="shared" si="14"/>
        <v>1</v>
      </c>
      <c r="I242" s="26">
        <v>10139.7114</v>
      </c>
      <c r="J242" s="27">
        <v>1.9554479999999998E-3</v>
      </c>
      <c r="K242" s="28">
        <f t="shared" si="13"/>
        <v>-3.0303132392714983E-9</v>
      </c>
      <c r="L242" s="29">
        <f t="shared" si="15"/>
        <v>1</v>
      </c>
    </row>
    <row r="243" spans="2:12" x14ac:dyDescent="0.25">
      <c r="B243" s="19" t="s">
        <v>239</v>
      </c>
      <c r="C243" s="30">
        <v>9250.7433678230991</v>
      </c>
      <c r="D243" s="31">
        <v>0.34059869599999998</v>
      </c>
      <c r="E243" s="22">
        <v>9250.7433999999994</v>
      </c>
      <c r="F243" s="23">
        <v>0.21370686899999999</v>
      </c>
      <c r="G243" s="24">
        <f t="shared" si="12"/>
        <v>3.4783042829403809E-9</v>
      </c>
      <c r="H243" s="25">
        <f t="shared" si="14"/>
        <v>1</v>
      </c>
      <c r="I243" s="26">
        <v>14850.409799999999</v>
      </c>
      <c r="J243" s="27">
        <v>2.003519E-3</v>
      </c>
      <c r="K243" s="28">
        <f t="shared" si="13"/>
        <v>0.60532069797268884</v>
      </c>
      <c r="L243" s="29">
        <f t="shared" si="15"/>
        <v>0</v>
      </c>
    </row>
    <row r="244" spans="2:12" x14ac:dyDescent="0.25">
      <c r="B244" s="19" t="s">
        <v>240</v>
      </c>
      <c r="C244" s="30">
        <v>9677.900767369998</v>
      </c>
      <c r="D244" s="31">
        <v>0.23717422799999999</v>
      </c>
      <c r="E244" s="22">
        <v>9677.9007999999994</v>
      </c>
      <c r="F244" s="23">
        <v>0.17824799</v>
      </c>
      <c r="G244" s="24">
        <f t="shared" si="12"/>
        <v>3.3715990922507648E-9</v>
      </c>
      <c r="H244" s="25">
        <f t="shared" si="14"/>
        <v>1</v>
      </c>
      <c r="I244" s="26">
        <v>14537.6036</v>
      </c>
      <c r="J244" s="27">
        <v>1.984492E-3</v>
      </c>
      <c r="K244" s="28">
        <f t="shared" si="13"/>
        <v>0.50214431305340224</v>
      </c>
      <c r="L244" s="29">
        <f t="shared" si="15"/>
        <v>0</v>
      </c>
    </row>
    <row r="245" spans="2:12" x14ac:dyDescent="0.25">
      <c r="B245" s="19" t="s">
        <v>241</v>
      </c>
      <c r="C245" s="30">
        <v>4153.1918739686007</v>
      </c>
      <c r="D245" s="31">
        <v>0.25013161900000003</v>
      </c>
      <c r="E245" s="22">
        <v>4153.1918999999998</v>
      </c>
      <c r="F245" s="23">
        <v>0.21963622399999999</v>
      </c>
      <c r="G245" s="24">
        <f t="shared" si="12"/>
        <v>6.2678055558247605E-9</v>
      </c>
      <c r="H245" s="25">
        <f t="shared" si="14"/>
        <v>1</v>
      </c>
      <c r="I245" s="26">
        <v>7360.2713999999996</v>
      </c>
      <c r="J245" s="27">
        <v>2.1653240000000002E-3</v>
      </c>
      <c r="K245" s="28">
        <f t="shared" si="13"/>
        <v>0.77219633076255156</v>
      </c>
      <c r="L245" s="29">
        <f t="shared" si="15"/>
        <v>0</v>
      </c>
    </row>
    <row r="246" spans="2:12" x14ac:dyDescent="0.25">
      <c r="B246" s="19" t="s">
        <v>242</v>
      </c>
      <c r="C246" s="30">
        <v>9467.9017877950009</v>
      </c>
      <c r="D246" s="31">
        <v>0.186691681</v>
      </c>
      <c r="E246" s="22">
        <v>9467.9017999999996</v>
      </c>
      <c r="F246" s="23">
        <v>0.23135346800000001</v>
      </c>
      <c r="G246" s="24">
        <f t="shared" si="12"/>
        <v>1.2890922386809976E-9</v>
      </c>
      <c r="H246" s="25">
        <f t="shared" si="14"/>
        <v>1</v>
      </c>
      <c r="I246" s="26">
        <v>10990.9665</v>
      </c>
      <c r="J246" s="27">
        <v>2.0351980000000002E-3</v>
      </c>
      <c r="K246" s="28">
        <f t="shared" si="13"/>
        <v>0.1608661291954222</v>
      </c>
      <c r="L246" s="29">
        <f t="shared" si="15"/>
        <v>0</v>
      </c>
    </row>
    <row r="247" spans="2:12" x14ac:dyDescent="0.25">
      <c r="B247" s="19" t="s">
        <v>243</v>
      </c>
      <c r="C247" s="30">
        <v>9816.9865328370015</v>
      </c>
      <c r="D247" s="31">
        <v>0.212717239</v>
      </c>
      <c r="E247" s="22">
        <v>9816.9865000000009</v>
      </c>
      <c r="F247" s="23">
        <v>0.21871434200000001</v>
      </c>
      <c r="G247" s="24">
        <f t="shared" si="12"/>
        <v>-3.3449165390473695E-9</v>
      </c>
      <c r="H247" s="25">
        <f t="shared" si="14"/>
        <v>1</v>
      </c>
      <c r="I247" s="26">
        <v>11015.6199</v>
      </c>
      <c r="J247" s="27">
        <v>2.038986E-3</v>
      </c>
      <c r="K247" s="28">
        <f t="shared" si="13"/>
        <v>0.1220978925817683</v>
      </c>
      <c r="L247" s="29">
        <f t="shared" si="15"/>
        <v>0</v>
      </c>
    </row>
    <row r="248" spans="2:12" x14ac:dyDescent="0.25">
      <c r="B248" s="19" t="s">
        <v>244</v>
      </c>
      <c r="C248" s="30">
        <v>7742.095637731999</v>
      </c>
      <c r="D248" s="31">
        <v>0.20203232199999999</v>
      </c>
      <c r="E248" s="22">
        <v>7742.0955999999996</v>
      </c>
      <c r="F248" s="23">
        <v>0.24307920899999999</v>
      </c>
      <c r="G248" s="24">
        <f t="shared" si="12"/>
        <v>-4.8736157615736757E-9</v>
      </c>
      <c r="H248" s="25">
        <f t="shared" si="14"/>
        <v>1</v>
      </c>
      <c r="I248" s="26">
        <v>8279.2155999999995</v>
      </c>
      <c r="J248" s="27">
        <v>2.0921749999999999E-3</v>
      </c>
      <c r="K248" s="28">
        <f t="shared" si="13"/>
        <v>6.9376559965274032E-2</v>
      </c>
      <c r="L248" s="29">
        <f t="shared" si="15"/>
        <v>0</v>
      </c>
    </row>
    <row r="249" spans="2:12" x14ac:dyDescent="0.25">
      <c r="B249" s="19" t="s">
        <v>245</v>
      </c>
      <c r="C249" s="30">
        <v>4496.2242187550492</v>
      </c>
      <c r="D249" s="31">
        <v>0.11253822199999999</v>
      </c>
      <c r="E249" s="22">
        <v>4496.2241999999997</v>
      </c>
      <c r="F249" s="23">
        <v>0.17958200799999999</v>
      </c>
      <c r="G249" s="24">
        <f t="shared" si="12"/>
        <v>-4.1712887487759232E-9</v>
      </c>
      <c r="H249" s="25">
        <f t="shared" si="14"/>
        <v>1</v>
      </c>
      <c r="I249" s="26">
        <v>4496.2241999999997</v>
      </c>
      <c r="J249" s="27">
        <v>2.8327930000000001E-3</v>
      </c>
      <c r="K249" s="28">
        <f t="shared" si="13"/>
        <v>-4.1712887487759232E-9</v>
      </c>
      <c r="L249" s="29">
        <f t="shared" si="15"/>
        <v>1</v>
      </c>
    </row>
    <row r="250" spans="2:12" ht="15.75" thickBot="1" x14ac:dyDescent="0.3">
      <c r="B250" s="32" t="s">
        <v>246</v>
      </c>
      <c r="C250" s="30">
        <v>7373.6950060387999</v>
      </c>
      <c r="D250" s="31">
        <v>0.19977683199999999</v>
      </c>
      <c r="E250" s="22">
        <v>7373.6949999999997</v>
      </c>
      <c r="F250" s="23">
        <v>0.197689754</v>
      </c>
      <c r="G250" s="24">
        <f t="shared" si="12"/>
        <v>-8.1896527599146681E-10</v>
      </c>
      <c r="H250" s="25">
        <f t="shared" si="14"/>
        <v>1</v>
      </c>
      <c r="I250" s="26">
        <v>9434.4701999999997</v>
      </c>
      <c r="J250" s="27">
        <v>2.6581740000000001E-3</v>
      </c>
      <c r="K250" s="28">
        <f t="shared" si="13"/>
        <v>0.27947659786219753</v>
      </c>
      <c r="L250" s="29">
        <f t="shared" si="15"/>
        <v>0</v>
      </c>
    </row>
    <row r="251" spans="2:12" ht="15.75" thickBot="1" x14ac:dyDescent="0.3">
      <c r="C251" s="33">
        <f>AVERAGE(C131:C250)</f>
        <v>11952.282315750943</v>
      </c>
      <c r="D251" s="34">
        <f>AVERAGE(D131:D250)</f>
        <v>0.27409316</v>
      </c>
      <c r="E251" s="35">
        <f>AVERAGE(E131:E250)</f>
        <v>11952.282315</v>
      </c>
      <c r="F251" s="35">
        <f>AVERAGE(F131:F250)</f>
        <v>0.25014506025</v>
      </c>
      <c r="G251" s="36">
        <f>AVERAGE(G131:G250)</f>
        <v>-9.9796170512632279E-11</v>
      </c>
      <c r="H251" s="37">
        <f>SUM(H131:H250)</f>
        <v>120</v>
      </c>
      <c r="I251" s="38">
        <f>AVERAGE(I131:I250)</f>
        <v>14121.640443333337</v>
      </c>
      <c r="J251" s="38">
        <f>AVERAGE(J131:J250)</f>
        <v>2.6286349666666663E-3</v>
      </c>
      <c r="K251" s="39">
        <f>AVERAGE(K131:K250)</f>
        <v>0.20688871209449947</v>
      </c>
      <c r="L251" s="40">
        <f>SUM(L131:L250)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8C4B-DA03-4E98-9140-388977E33BE6}">
  <dimension ref="B1:L250"/>
  <sheetViews>
    <sheetView topLeftCell="B186" workbookViewId="0">
      <selection activeCell="I129" sqref="I129"/>
    </sheetView>
  </sheetViews>
  <sheetFormatPr baseColWidth="10" defaultRowHeight="15" x14ac:dyDescent="0.25"/>
  <cols>
    <col min="2" max="2" width="29.7109375" bestFit="1" customWidth="1"/>
  </cols>
  <sheetData>
    <row r="1" spans="2:12" ht="15.75" thickBot="1" x14ac:dyDescent="0.3"/>
    <row r="2" spans="2:12" x14ac:dyDescent="0.25">
      <c r="B2" s="1" t="s">
        <v>248</v>
      </c>
      <c r="C2" s="2" t="s">
        <v>125</v>
      </c>
      <c r="D2" s="3"/>
      <c r="E2" s="4" t="s">
        <v>126</v>
      </c>
      <c r="F2" s="5"/>
      <c r="G2" s="5"/>
      <c r="H2" s="6"/>
      <c r="I2" s="7" t="s">
        <v>247</v>
      </c>
      <c r="J2" s="8"/>
      <c r="K2" s="8"/>
      <c r="L2" s="9"/>
    </row>
    <row r="3" spans="2:12" ht="15.75" thickBot="1" x14ac:dyDescent="0.3">
      <c r="B3" s="10"/>
      <c r="C3" s="41" t="s">
        <v>1</v>
      </c>
      <c r="D3" s="42" t="s">
        <v>2</v>
      </c>
      <c r="E3" s="13" t="s">
        <v>1</v>
      </c>
      <c r="F3" s="14" t="s">
        <v>2</v>
      </c>
      <c r="G3" s="14" t="s">
        <v>3</v>
      </c>
      <c r="H3" s="15" t="s">
        <v>4</v>
      </c>
      <c r="I3" s="16" t="s">
        <v>1</v>
      </c>
      <c r="J3" s="17" t="s">
        <v>2</v>
      </c>
      <c r="K3" s="17" t="s">
        <v>3</v>
      </c>
      <c r="L3" s="18" t="s">
        <v>4</v>
      </c>
    </row>
    <row r="4" spans="2:12" x14ac:dyDescent="0.25">
      <c r="B4" s="43" t="s">
        <v>249</v>
      </c>
      <c r="C4" s="30">
        <v>51060.258445307911</v>
      </c>
      <c r="D4" s="31">
        <v>1.2831461</v>
      </c>
      <c r="E4" s="22">
        <v>51060.258399999999</v>
      </c>
      <c r="F4" s="23">
        <v>1.5515896680000001</v>
      </c>
      <c r="G4" s="24">
        <f t="shared" ref="G4:G67" si="0">(E4-C4)/C4</f>
        <v>-8.8734200162733214E-10</v>
      </c>
      <c r="H4" s="25">
        <f>IF(G4&lt;0.000001,1,0)</f>
        <v>1</v>
      </c>
      <c r="I4" s="26">
        <v>51060.258399999999</v>
      </c>
      <c r="J4" s="27">
        <v>2.6304080000000001E-2</v>
      </c>
      <c r="K4" s="28">
        <f t="shared" ref="K4:K67" si="1">(I4-C4)/C4</f>
        <v>-8.8734200162733214E-10</v>
      </c>
      <c r="L4" s="29">
        <f>IF(K4&lt;0.000001,1,0)</f>
        <v>1</v>
      </c>
    </row>
    <row r="5" spans="2:12" x14ac:dyDescent="0.25">
      <c r="B5" s="43" t="s">
        <v>250</v>
      </c>
      <c r="C5" s="30">
        <v>57800.045161369766</v>
      </c>
      <c r="D5" s="31">
        <v>4.2675191000000003</v>
      </c>
      <c r="E5" s="22">
        <v>57800.0452</v>
      </c>
      <c r="F5" s="23">
        <v>1.3167889589999999</v>
      </c>
      <c r="G5" s="24">
        <f t="shared" si="0"/>
        <v>6.6834263497850482E-10</v>
      </c>
      <c r="H5" s="25">
        <f t="shared" ref="H5:H68" si="2">IF(G5&lt;0.000001,1,0)</f>
        <v>1</v>
      </c>
      <c r="I5" s="26">
        <v>63416.544699999999</v>
      </c>
      <c r="J5" s="27">
        <v>8.7855399999999997E-3</v>
      </c>
      <c r="K5" s="28">
        <f t="shared" si="1"/>
        <v>9.7171196371036384E-2</v>
      </c>
      <c r="L5" s="29">
        <f t="shared" ref="L5:L68" si="3">IF(K5&lt;0.000001,1,0)</f>
        <v>0</v>
      </c>
    </row>
    <row r="6" spans="2:12" x14ac:dyDescent="0.25">
      <c r="B6" s="43" t="s">
        <v>251</v>
      </c>
      <c r="C6" s="30">
        <v>44749.357592744745</v>
      </c>
      <c r="D6" s="31">
        <v>1.0012894999999999</v>
      </c>
      <c r="E6" s="22">
        <v>44749.357600000003</v>
      </c>
      <c r="F6" s="23">
        <v>1.352836656</v>
      </c>
      <c r="G6" s="24">
        <f t="shared" si="0"/>
        <v>1.6213098701437841E-10</v>
      </c>
      <c r="H6" s="25">
        <f t="shared" si="2"/>
        <v>1</v>
      </c>
      <c r="I6" s="26">
        <v>48003.624000000003</v>
      </c>
      <c r="J6" s="27">
        <v>9.9794603999999995E-2</v>
      </c>
      <c r="K6" s="28">
        <f t="shared" si="1"/>
        <v>7.2722080993244814E-2</v>
      </c>
      <c r="L6" s="29">
        <f t="shared" si="3"/>
        <v>0</v>
      </c>
    </row>
    <row r="7" spans="2:12" x14ac:dyDescent="0.25">
      <c r="B7" s="43" t="s">
        <v>252</v>
      </c>
      <c r="C7" s="30">
        <v>50094.934775810361</v>
      </c>
      <c r="D7" s="31">
        <v>1.1706966999999999</v>
      </c>
      <c r="E7" s="22">
        <v>50094.934800000003</v>
      </c>
      <c r="F7" s="23">
        <v>1.4269839360000001</v>
      </c>
      <c r="G7" s="24">
        <f t="shared" si="0"/>
        <v>4.8287599367904957E-10</v>
      </c>
      <c r="H7" s="25">
        <f t="shared" si="2"/>
        <v>1</v>
      </c>
      <c r="I7" s="26">
        <v>57112.315199999997</v>
      </c>
      <c r="J7" s="27">
        <v>5.0226029999999996E-3</v>
      </c>
      <c r="K7" s="28">
        <f t="shared" si="1"/>
        <v>0.14008163610940882</v>
      </c>
      <c r="L7" s="29">
        <f t="shared" si="3"/>
        <v>0</v>
      </c>
    </row>
    <row r="8" spans="2:12" x14ac:dyDescent="0.25">
      <c r="B8" s="43" t="s">
        <v>253</v>
      </c>
      <c r="C8" s="30">
        <v>58024.600007800735</v>
      </c>
      <c r="D8" s="31">
        <v>1.1658687000000001</v>
      </c>
      <c r="E8" s="22">
        <v>58024.6</v>
      </c>
      <c r="F8" s="23">
        <v>1.454297776</v>
      </c>
      <c r="G8" s="24">
        <f t="shared" si="0"/>
        <v>-1.3443842880532891E-10</v>
      </c>
      <c r="H8" s="25">
        <f t="shared" si="2"/>
        <v>1</v>
      </c>
      <c r="I8" s="26">
        <v>59828.109499999999</v>
      </c>
      <c r="J8" s="27">
        <v>5.4256620000000004E-3</v>
      </c>
      <c r="K8" s="28">
        <f t="shared" si="1"/>
        <v>3.1081808266783452E-2</v>
      </c>
      <c r="L8" s="29">
        <f t="shared" si="3"/>
        <v>0</v>
      </c>
    </row>
    <row r="9" spans="2:12" x14ac:dyDescent="0.25">
      <c r="B9" s="43" t="s">
        <v>254</v>
      </c>
      <c r="C9" s="30">
        <v>49834.339613746801</v>
      </c>
      <c r="D9" s="31">
        <v>1.708963</v>
      </c>
      <c r="E9" s="22">
        <v>49834.339599999999</v>
      </c>
      <c r="F9" s="23">
        <v>1.5127492419999999</v>
      </c>
      <c r="G9" s="24">
        <f t="shared" si="0"/>
        <v>-2.7584997656385006E-10</v>
      </c>
      <c r="H9" s="25">
        <f t="shared" si="2"/>
        <v>1</v>
      </c>
      <c r="I9" s="26">
        <v>54156.247900000002</v>
      </c>
      <c r="J9" s="27">
        <v>5.1251969999999997E-3</v>
      </c>
      <c r="K9" s="28">
        <f t="shared" si="1"/>
        <v>8.6725505339314321E-2</v>
      </c>
      <c r="L9" s="29">
        <f t="shared" si="3"/>
        <v>0</v>
      </c>
    </row>
    <row r="10" spans="2:12" x14ac:dyDescent="0.25">
      <c r="B10" s="43" t="s">
        <v>255</v>
      </c>
      <c r="C10" s="30">
        <v>55554.956996368383</v>
      </c>
      <c r="D10" s="31">
        <v>1.8994435000000001</v>
      </c>
      <c r="E10" s="22">
        <v>55554.957000000002</v>
      </c>
      <c r="F10" s="23">
        <v>1.5045173599999999</v>
      </c>
      <c r="G10" s="24">
        <f t="shared" si="0"/>
        <v>6.536985746158196E-11</v>
      </c>
      <c r="H10" s="25">
        <f t="shared" si="2"/>
        <v>1</v>
      </c>
      <c r="I10" s="26">
        <v>63834.764499999997</v>
      </c>
      <c r="J10" s="27">
        <v>5.3192029999999998E-3</v>
      </c>
      <c r="K10" s="28">
        <f t="shared" si="1"/>
        <v>0.14903814081204067</v>
      </c>
      <c r="L10" s="29">
        <f t="shared" si="3"/>
        <v>0</v>
      </c>
    </row>
    <row r="11" spans="2:12" x14ac:dyDescent="0.25">
      <c r="B11" s="43" t="s">
        <v>256</v>
      </c>
      <c r="C11" s="30">
        <v>68922.71712055504</v>
      </c>
      <c r="D11" s="31">
        <v>1.2826487</v>
      </c>
      <c r="E11" s="22">
        <v>68922.717099999994</v>
      </c>
      <c r="F11" s="23">
        <v>0.50399769000000005</v>
      </c>
      <c r="G11" s="24">
        <f t="shared" si="0"/>
        <v>-2.9823324993705581E-10</v>
      </c>
      <c r="H11" s="25">
        <f t="shared" si="2"/>
        <v>1</v>
      </c>
      <c r="I11" s="26">
        <v>68922.717099999994</v>
      </c>
      <c r="J11" s="27">
        <v>4.8511190000000001E-3</v>
      </c>
      <c r="K11" s="28">
        <f t="shared" si="1"/>
        <v>-2.9823324993705581E-10</v>
      </c>
      <c r="L11" s="29">
        <f t="shared" si="3"/>
        <v>1</v>
      </c>
    </row>
    <row r="12" spans="2:12" x14ac:dyDescent="0.25">
      <c r="B12" s="43" t="s">
        <v>257</v>
      </c>
      <c r="C12" s="30">
        <v>67691.824770360283</v>
      </c>
      <c r="D12" s="31">
        <v>0.96124600000000004</v>
      </c>
      <c r="E12" s="22">
        <v>67691.824800000002</v>
      </c>
      <c r="F12" s="23">
        <v>0.46054291200000003</v>
      </c>
      <c r="G12" s="24">
        <f t="shared" si="0"/>
        <v>4.3786261321044581E-10</v>
      </c>
      <c r="H12" s="25">
        <f t="shared" si="2"/>
        <v>1</v>
      </c>
      <c r="I12" s="26">
        <v>67691.824800000002</v>
      </c>
      <c r="J12" s="27">
        <v>4.9492640000000001E-3</v>
      </c>
      <c r="K12" s="28">
        <f t="shared" si="1"/>
        <v>4.3786261321044581E-10</v>
      </c>
      <c r="L12" s="29">
        <f t="shared" si="3"/>
        <v>1</v>
      </c>
    </row>
    <row r="13" spans="2:12" x14ac:dyDescent="0.25">
      <c r="B13" s="43" t="s">
        <v>258</v>
      </c>
      <c r="C13" s="30">
        <v>60792.95098089509</v>
      </c>
      <c r="D13" s="31">
        <v>0.93222680000000002</v>
      </c>
      <c r="E13" s="22">
        <v>60792.951000000001</v>
      </c>
      <c r="F13" s="23">
        <v>0.50026028600000005</v>
      </c>
      <c r="G13" s="24">
        <f t="shared" si="0"/>
        <v>3.1426194782129603E-10</v>
      </c>
      <c r="H13" s="25">
        <f t="shared" si="2"/>
        <v>1</v>
      </c>
      <c r="I13" s="26">
        <v>72114.882599999997</v>
      </c>
      <c r="J13" s="27">
        <v>7.0506170000000003E-3</v>
      </c>
      <c r="K13" s="28">
        <f t="shared" si="1"/>
        <v>0.18623757255447199</v>
      </c>
      <c r="L13" s="29">
        <f t="shared" si="3"/>
        <v>0</v>
      </c>
    </row>
    <row r="14" spans="2:12" x14ac:dyDescent="0.25">
      <c r="B14" s="43" t="s">
        <v>259</v>
      </c>
      <c r="C14" s="30">
        <v>58584.017276833343</v>
      </c>
      <c r="D14" s="31">
        <v>0.75437299999999996</v>
      </c>
      <c r="E14" s="22">
        <v>58584.0173</v>
      </c>
      <c r="F14" s="23">
        <v>1.361940989</v>
      </c>
      <c r="G14" s="24">
        <f t="shared" si="0"/>
        <v>3.9544328634968402E-10</v>
      </c>
      <c r="H14" s="25">
        <f t="shared" si="2"/>
        <v>1</v>
      </c>
      <c r="I14" s="26">
        <v>69976.472299999994</v>
      </c>
      <c r="J14" s="27">
        <v>6.9741239999999999E-3</v>
      </c>
      <c r="K14" s="28">
        <f t="shared" si="1"/>
        <v>0.19446353378827985</v>
      </c>
      <c r="L14" s="29">
        <f t="shared" si="3"/>
        <v>0</v>
      </c>
    </row>
    <row r="15" spans="2:12" x14ac:dyDescent="0.25">
      <c r="B15" s="43" t="s">
        <v>260</v>
      </c>
      <c r="C15" s="30">
        <v>60271.478851421562</v>
      </c>
      <c r="D15" s="31">
        <v>4.5148729999999997</v>
      </c>
      <c r="E15" s="22">
        <v>60271.478900000002</v>
      </c>
      <c r="F15" s="23">
        <v>1.6620967010000001</v>
      </c>
      <c r="G15" s="24">
        <f t="shared" si="0"/>
        <v>8.0599383412977037E-10</v>
      </c>
      <c r="H15" s="25">
        <f t="shared" si="2"/>
        <v>1</v>
      </c>
      <c r="I15" s="26">
        <v>64981.469299999997</v>
      </c>
      <c r="J15" s="27">
        <v>7.1128550000000004E-3</v>
      </c>
      <c r="K15" s="28">
        <f t="shared" si="1"/>
        <v>7.8146256543485254E-2</v>
      </c>
      <c r="L15" s="29">
        <f t="shared" si="3"/>
        <v>0</v>
      </c>
    </row>
    <row r="16" spans="2:12" x14ac:dyDescent="0.25">
      <c r="B16" s="43" t="s">
        <v>261</v>
      </c>
      <c r="C16" s="30">
        <v>57982.605293739609</v>
      </c>
      <c r="D16" s="31">
        <v>3.7137473999999999</v>
      </c>
      <c r="E16" s="22">
        <v>57982.605300000003</v>
      </c>
      <c r="F16" s="23">
        <v>1.532079577</v>
      </c>
      <c r="G16" s="24">
        <f t="shared" si="0"/>
        <v>1.0797020883411162E-10</v>
      </c>
      <c r="H16" s="25">
        <f t="shared" si="2"/>
        <v>1</v>
      </c>
      <c r="I16" s="26">
        <v>63020.619700000003</v>
      </c>
      <c r="J16" s="27">
        <v>7.445091E-3</v>
      </c>
      <c r="K16" s="28">
        <f t="shared" si="1"/>
        <v>8.688837593167531E-2</v>
      </c>
      <c r="L16" s="29">
        <f t="shared" si="3"/>
        <v>0</v>
      </c>
    </row>
    <row r="17" spans="2:12" x14ac:dyDescent="0.25">
      <c r="B17" s="43" t="s">
        <v>262</v>
      </c>
      <c r="C17" s="30">
        <v>49975.321997268751</v>
      </c>
      <c r="D17" s="31">
        <v>2.394482</v>
      </c>
      <c r="E17" s="22">
        <v>49975.322</v>
      </c>
      <c r="F17" s="23">
        <v>1.5399367850000001</v>
      </c>
      <c r="G17" s="24">
        <f t="shared" si="0"/>
        <v>5.4651953405351597E-11</v>
      </c>
      <c r="H17" s="25">
        <f t="shared" si="2"/>
        <v>1</v>
      </c>
      <c r="I17" s="26">
        <v>52216.406300000002</v>
      </c>
      <c r="J17" s="27">
        <v>7.125007E-3</v>
      </c>
      <c r="K17" s="28">
        <f t="shared" si="1"/>
        <v>4.4843819172465382E-2</v>
      </c>
      <c r="L17" s="29">
        <f t="shared" si="3"/>
        <v>0</v>
      </c>
    </row>
    <row r="18" spans="2:12" x14ac:dyDescent="0.25">
      <c r="B18" s="43" t="s">
        <v>263</v>
      </c>
      <c r="C18" s="30">
        <v>57293.880462645851</v>
      </c>
      <c r="D18" s="31">
        <v>2.9558816999999999</v>
      </c>
      <c r="E18" s="22">
        <v>57293.880499999999</v>
      </c>
      <c r="F18" s="23">
        <v>1.5632672489999999</v>
      </c>
      <c r="G18" s="24">
        <f t="shared" si="0"/>
        <v>6.5197448022698433E-10</v>
      </c>
      <c r="H18" s="25">
        <f t="shared" si="2"/>
        <v>1</v>
      </c>
      <c r="I18" s="26">
        <v>64168.760699999999</v>
      </c>
      <c r="J18" s="27">
        <v>7.174522E-3</v>
      </c>
      <c r="K18" s="28">
        <f t="shared" si="1"/>
        <v>0.1199932729610869</v>
      </c>
      <c r="L18" s="29">
        <f t="shared" si="3"/>
        <v>0</v>
      </c>
    </row>
    <row r="19" spans="2:12" x14ac:dyDescent="0.25">
      <c r="B19" s="43" t="s">
        <v>264</v>
      </c>
      <c r="C19" s="30">
        <v>51291.214690330184</v>
      </c>
      <c r="D19" s="31">
        <v>0.74851270000000003</v>
      </c>
      <c r="E19" s="22">
        <v>51291.214699999997</v>
      </c>
      <c r="F19" s="23">
        <v>1.597266434</v>
      </c>
      <c r="G19" s="24">
        <f t="shared" si="0"/>
        <v>1.8852766913885019E-10</v>
      </c>
      <c r="H19" s="25">
        <f t="shared" si="2"/>
        <v>1</v>
      </c>
      <c r="I19" s="26">
        <v>58253.186900000001</v>
      </c>
      <c r="J19" s="27">
        <v>1.1498927000000001E-2</v>
      </c>
      <c r="K19" s="28">
        <f t="shared" si="1"/>
        <v>0.13573420422391247</v>
      </c>
      <c r="L19" s="29">
        <f t="shared" si="3"/>
        <v>0</v>
      </c>
    </row>
    <row r="20" spans="2:12" x14ac:dyDescent="0.25">
      <c r="B20" s="43" t="s">
        <v>265</v>
      </c>
      <c r="C20" s="30">
        <v>55675.304320359595</v>
      </c>
      <c r="D20" s="31">
        <v>0.97848210000000002</v>
      </c>
      <c r="E20" s="22">
        <v>55675.304300000003</v>
      </c>
      <c r="F20" s="23">
        <v>1.2220426310000001</v>
      </c>
      <c r="G20" s="24">
        <f t="shared" si="0"/>
        <v>-3.6568442903904325E-10</v>
      </c>
      <c r="H20" s="25">
        <f t="shared" si="2"/>
        <v>1</v>
      </c>
      <c r="I20" s="26">
        <v>59828.365599999997</v>
      </c>
      <c r="J20" s="27">
        <v>7.5348020000000002E-3</v>
      </c>
      <c r="K20" s="28">
        <f t="shared" si="1"/>
        <v>7.4594316642499103E-2</v>
      </c>
      <c r="L20" s="29">
        <f t="shared" si="3"/>
        <v>0</v>
      </c>
    </row>
    <row r="21" spans="2:12" x14ac:dyDescent="0.25">
      <c r="B21" s="43" t="s">
        <v>266</v>
      </c>
      <c r="C21" s="30">
        <v>47259.341546385069</v>
      </c>
      <c r="D21" s="31">
        <v>1.0059578</v>
      </c>
      <c r="E21" s="22">
        <v>47259.341500000002</v>
      </c>
      <c r="F21" s="23">
        <v>0.82752222799999997</v>
      </c>
      <c r="G21" s="24">
        <f t="shared" si="0"/>
        <v>-9.8150048239707288E-10</v>
      </c>
      <c r="H21" s="25">
        <f t="shared" si="2"/>
        <v>1</v>
      </c>
      <c r="I21" s="26">
        <v>51996.618699999999</v>
      </c>
      <c r="J21" s="27">
        <v>6.230841E-3</v>
      </c>
      <c r="K21" s="28">
        <f t="shared" si="1"/>
        <v>0.10024001601810914</v>
      </c>
      <c r="L21" s="29">
        <f t="shared" si="3"/>
        <v>0</v>
      </c>
    </row>
    <row r="22" spans="2:12" x14ac:dyDescent="0.25">
      <c r="B22" s="43" t="s">
        <v>267</v>
      </c>
      <c r="C22" s="30">
        <v>62104.524609453743</v>
      </c>
      <c r="D22" s="31">
        <v>0.77579929999999997</v>
      </c>
      <c r="E22" s="22">
        <v>62104.524599999997</v>
      </c>
      <c r="F22" s="23">
        <v>0.831803815</v>
      </c>
      <c r="G22" s="24">
        <f t="shared" si="0"/>
        <v>-1.522231491989946E-10</v>
      </c>
      <c r="H22" s="25">
        <f t="shared" si="2"/>
        <v>1</v>
      </c>
      <c r="I22" s="26">
        <v>62104.524599999997</v>
      </c>
      <c r="J22" s="27">
        <v>6.980516E-3</v>
      </c>
      <c r="K22" s="28">
        <f t="shared" si="1"/>
        <v>-1.522231491989946E-10</v>
      </c>
      <c r="L22" s="29">
        <f t="shared" si="3"/>
        <v>1</v>
      </c>
    </row>
    <row r="23" spans="2:12" x14ac:dyDescent="0.25">
      <c r="B23" s="43" t="s">
        <v>268</v>
      </c>
      <c r="C23" s="30">
        <v>53143.23515782466</v>
      </c>
      <c r="D23" s="31">
        <v>1.1697419</v>
      </c>
      <c r="E23" s="22">
        <v>53143.235200000003</v>
      </c>
      <c r="F23" s="23">
        <v>0.91534768700000002</v>
      </c>
      <c r="G23" s="24">
        <f t="shared" si="0"/>
        <v>7.9361639997788024E-10</v>
      </c>
      <c r="H23" s="25">
        <f t="shared" si="2"/>
        <v>1</v>
      </c>
      <c r="I23" s="26">
        <v>55763.313800000004</v>
      </c>
      <c r="J23" s="27">
        <v>6.5728260000000004E-3</v>
      </c>
      <c r="K23" s="28">
        <f t="shared" si="1"/>
        <v>4.9302204399002812E-2</v>
      </c>
      <c r="L23" s="29">
        <f t="shared" si="3"/>
        <v>0</v>
      </c>
    </row>
    <row r="24" spans="2:12" x14ac:dyDescent="0.25">
      <c r="B24" s="43" t="s">
        <v>269</v>
      </c>
      <c r="C24" s="30">
        <v>53435.677603041062</v>
      </c>
      <c r="D24" s="31">
        <v>0.74571160000000003</v>
      </c>
      <c r="E24" s="22">
        <v>53435.677600000003</v>
      </c>
      <c r="F24" s="23">
        <v>1.2007797250000001</v>
      </c>
      <c r="G24" s="24">
        <f t="shared" si="0"/>
        <v>-5.6910651849786517E-11</v>
      </c>
      <c r="H24" s="25">
        <f t="shared" si="2"/>
        <v>1</v>
      </c>
      <c r="I24" s="26">
        <v>68951.196100000001</v>
      </c>
      <c r="J24" s="27">
        <v>7.8963920000000003E-3</v>
      </c>
      <c r="K24" s="28">
        <f t="shared" si="1"/>
        <v>0.29035878635655105</v>
      </c>
      <c r="L24" s="29">
        <f t="shared" si="3"/>
        <v>0</v>
      </c>
    </row>
    <row r="25" spans="2:12" x14ac:dyDescent="0.25">
      <c r="B25" s="43" t="s">
        <v>270</v>
      </c>
      <c r="C25" s="30">
        <v>43600.15180344168</v>
      </c>
      <c r="D25" s="31">
        <v>3.8892715</v>
      </c>
      <c r="E25" s="22">
        <v>43600.1518</v>
      </c>
      <c r="F25" s="23">
        <v>1.210709078</v>
      </c>
      <c r="G25" s="24">
        <f t="shared" si="0"/>
        <v>-7.893735696459161E-11</v>
      </c>
      <c r="H25" s="25">
        <f t="shared" si="2"/>
        <v>1</v>
      </c>
      <c r="I25" s="26">
        <v>52376.971400000002</v>
      </c>
      <c r="J25" s="27">
        <v>9.5641489999999992E-3</v>
      </c>
      <c r="K25" s="28">
        <f t="shared" si="1"/>
        <v>0.20130250087490528</v>
      </c>
      <c r="L25" s="29">
        <f t="shared" si="3"/>
        <v>0</v>
      </c>
    </row>
    <row r="26" spans="2:12" x14ac:dyDescent="0.25">
      <c r="B26" s="43" t="s">
        <v>271</v>
      </c>
      <c r="C26" s="30">
        <v>36632.18829340252</v>
      </c>
      <c r="D26" s="31">
        <v>3.0916929999999998</v>
      </c>
      <c r="E26" s="22">
        <v>36632.188300000002</v>
      </c>
      <c r="F26" s="23">
        <v>1.2769515499999999</v>
      </c>
      <c r="G26" s="24">
        <f t="shared" si="0"/>
        <v>1.8010067511600573E-10</v>
      </c>
      <c r="H26" s="25">
        <f t="shared" si="2"/>
        <v>1</v>
      </c>
      <c r="I26" s="26">
        <v>43058.863599999997</v>
      </c>
      <c r="J26" s="27">
        <v>2.9283969E-2</v>
      </c>
      <c r="K26" s="28">
        <f t="shared" si="1"/>
        <v>0.17543793057415916</v>
      </c>
      <c r="L26" s="29">
        <f t="shared" si="3"/>
        <v>0</v>
      </c>
    </row>
    <row r="27" spans="2:12" x14ac:dyDescent="0.25">
      <c r="B27" s="43" t="s">
        <v>272</v>
      </c>
      <c r="C27" s="30">
        <v>30851.559442102847</v>
      </c>
      <c r="D27" s="31">
        <v>0.97999539999999996</v>
      </c>
      <c r="E27" s="22">
        <v>30851.559399999998</v>
      </c>
      <c r="F27" s="23">
        <v>1.0861690289999999</v>
      </c>
      <c r="G27" s="24">
        <f t="shared" si="0"/>
        <v>-1.3646911121122917E-9</v>
      </c>
      <c r="H27" s="25">
        <f t="shared" si="2"/>
        <v>1</v>
      </c>
      <c r="I27" s="26">
        <v>38574.9764</v>
      </c>
      <c r="J27" s="27">
        <v>8.087693E-3</v>
      </c>
      <c r="K27" s="28">
        <f t="shared" si="1"/>
        <v>0.25034121767462664</v>
      </c>
      <c r="L27" s="29">
        <f t="shared" si="3"/>
        <v>0</v>
      </c>
    </row>
    <row r="28" spans="2:12" x14ac:dyDescent="0.25">
      <c r="B28" s="43" t="s">
        <v>273</v>
      </c>
      <c r="C28" s="30">
        <v>50221.707675976308</v>
      </c>
      <c r="D28" s="31">
        <v>1.5722278000000001</v>
      </c>
      <c r="E28" s="22">
        <v>50221.707699999999</v>
      </c>
      <c r="F28" s="23">
        <v>1.2822798849999999</v>
      </c>
      <c r="G28" s="24">
        <f t="shared" si="0"/>
        <v>4.7835273786168178E-10</v>
      </c>
      <c r="H28" s="25">
        <f t="shared" si="2"/>
        <v>1</v>
      </c>
      <c r="I28" s="26">
        <v>60133.834499999997</v>
      </c>
      <c r="J28" s="27">
        <v>1.2697577999999999E-2</v>
      </c>
      <c r="K28" s="28">
        <f t="shared" si="1"/>
        <v>0.19736737922126019</v>
      </c>
      <c r="L28" s="29">
        <f t="shared" si="3"/>
        <v>0</v>
      </c>
    </row>
    <row r="29" spans="2:12" x14ac:dyDescent="0.25">
      <c r="B29" s="43" t="s">
        <v>274</v>
      </c>
      <c r="C29" s="30">
        <v>46884.55161815216</v>
      </c>
      <c r="D29" s="31">
        <v>0.86253420000000003</v>
      </c>
      <c r="E29" s="22">
        <v>46884.551599999999</v>
      </c>
      <c r="F29" s="23">
        <v>1.189276223</v>
      </c>
      <c r="G29" s="24">
        <f t="shared" si="0"/>
        <v>-3.8716720738017016E-10</v>
      </c>
      <c r="H29" s="25">
        <f t="shared" si="2"/>
        <v>1</v>
      </c>
      <c r="I29" s="26">
        <v>50436.425499999998</v>
      </c>
      <c r="J29" s="27">
        <v>8.3810369999999992E-3</v>
      </c>
      <c r="K29" s="28">
        <f t="shared" si="1"/>
        <v>7.5757872460332304E-2</v>
      </c>
      <c r="L29" s="29">
        <f t="shared" si="3"/>
        <v>0</v>
      </c>
    </row>
    <row r="30" spans="2:12" x14ac:dyDescent="0.25">
      <c r="B30" s="43" t="s">
        <v>275</v>
      </c>
      <c r="C30" s="30">
        <v>47686.370720444509</v>
      </c>
      <c r="D30" s="31">
        <v>0.78811019999999998</v>
      </c>
      <c r="E30" s="22">
        <v>47686.370699999999</v>
      </c>
      <c r="F30" s="23">
        <v>1.2219258209999999</v>
      </c>
      <c r="G30" s="24">
        <f t="shared" si="0"/>
        <v>-4.2872857096075179E-10</v>
      </c>
      <c r="H30" s="25">
        <f t="shared" si="2"/>
        <v>1</v>
      </c>
      <c r="I30" s="26">
        <v>60776.830499999996</v>
      </c>
      <c r="J30" s="27">
        <v>9.4577970000000004E-3</v>
      </c>
      <c r="K30" s="28">
        <f t="shared" si="1"/>
        <v>0.27451155501635255</v>
      </c>
      <c r="L30" s="29">
        <f t="shared" si="3"/>
        <v>0</v>
      </c>
    </row>
    <row r="31" spans="2:12" x14ac:dyDescent="0.25">
      <c r="B31" s="43" t="s">
        <v>276</v>
      </c>
      <c r="C31" s="30">
        <v>43032.977847557297</v>
      </c>
      <c r="D31" s="31">
        <v>1.0160586</v>
      </c>
      <c r="E31" s="22">
        <v>43032.977800000001</v>
      </c>
      <c r="F31" s="23">
        <v>1.084508917</v>
      </c>
      <c r="G31" s="24">
        <f t="shared" si="0"/>
        <v>-1.1051360708811738E-9</v>
      </c>
      <c r="H31" s="25">
        <f t="shared" si="2"/>
        <v>1</v>
      </c>
      <c r="I31" s="26">
        <v>51356.664199999999</v>
      </c>
      <c r="J31" s="27">
        <v>1.4274813000000001E-2</v>
      </c>
      <c r="K31" s="28">
        <f t="shared" si="1"/>
        <v>0.19342575784388075</v>
      </c>
      <c r="L31" s="29">
        <f t="shared" si="3"/>
        <v>0</v>
      </c>
    </row>
    <row r="32" spans="2:12" x14ac:dyDescent="0.25">
      <c r="B32" s="43" t="s">
        <v>277</v>
      </c>
      <c r="C32" s="30">
        <v>43172.416254387208</v>
      </c>
      <c r="D32" s="31">
        <v>1.5429218</v>
      </c>
      <c r="E32" s="22">
        <v>43172.416299999997</v>
      </c>
      <c r="F32" s="23">
        <v>1.0523690670000001</v>
      </c>
      <c r="G32" s="24">
        <f t="shared" si="0"/>
        <v>1.0565262050576733E-9</v>
      </c>
      <c r="H32" s="25">
        <f t="shared" si="2"/>
        <v>1</v>
      </c>
      <c r="I32" s="26">
        <v>58200.592499999999</v>
      </c>
      <c r="J32" s="27">
        <v>1.6863616000000001E-2</v>
      </c>
      <c r="K32" s="28">
        <f t="shared" si="1"/>
        <v>0.34809671427842814</v>
      </c>
      <c r="L32" s="29">
        <f t="shared" si="3"/>
        <v>0</v>
      </c>
    </row>
    <row r="33" spans="2:12" x14ac:dyDescent="0.25">
      <c r="B33" s="43" t="s">
        <v>278</v>
      </c>
      <c r="C33" s="30">
        <v>53926.275099759783</v>
      </c>
      <c r="D33" s="31">
        <v>0.80201440000000002</v>
      </c>
      <c r="E33" s="22">
        <v>53926.275099999999</v>
      </c>
      <c r="F33" s="23">
        <v>1.289372357</v>
      </c>
      <c r="G33" s="24">
        <f t="shared" si="0"/>
        <v>4.4545212920396175E-12</v>
      </c>
      <c r="H33" s="25">
        <f t="shared" si="2"/>
        <v>1</v>
      </c>
      <c r="I33" s="26">
        <v>63730.394200000002</v>
      </c>
      <c r="J33" s="27">
        <v>1.6112267999999999E-2</v>
      </c>
      <c r="K33" s="28">
        <f t="shared" si="1"/>
        <v>0.18180597643919025</v>
      </c>
      <c r="L33" s="29">
        <f t="shared" si="3"/>
        <v>0</v>
      </c>
    </row>
    <row r="34" spans="2:12" x14ac:dyDescent="0.25">
      <c r="B34" s="43" t="s">
        <v>279</v>
      </c>
      <c r="C34" s="30">
        <v>36535.669947143542</v>
      </c>
      <c r="D34" s="31">
        <v>0.78864570000000001</v>
      </c>
      <c r="E34" s="22">
        <v>36535.669900000001</v>
      </c>
      <c r="F34" s="23">
        <v>1.248771622</v>
      </c>
      <c r="G34" s="24">
        <f t="shared" si="0"/>
        <v>-1.2903428764076548E-9</v>
      </c>
      <c r="H34" s="25">
        <f t="shared" si="2"/>
        <v>1</v>
      </c>
      <c r="I34" s="26">
        <v>41601.818800000001</v>
      </c>
      <c r="J34" s="27">
        <v>1.8073585999999999E-2</v>
      </c>
      <c r="K34" s="28">
        <f t="shared" si="1"/>
        <v>0.13866308898086988</v>
      </c>
      <c r="L34" s="29">
        <f t="shared" si="3"/>
        <v>0</v>
      </c>
    </row>
    <row r="35" spans="2:12" x14ac:dyDescent="0.25">
      <c r="B35" s="43" t="s">
        <v>280</v>
      </c>
      <c r="C35" s="30">
        <v>29752.438729521942</v>
      </c>
      <c r="D35" s="31">
        <v>0.68774360000000001</v>
      </c>
      <c r="E35" s="22">
        <v>29752.438699999999</v>
      </c>
      <c r="F35" s="23">
        <v>1.5824777370000001</v>
      </c>
      <c r="G35" s="24">
        <f t="shared" si="0"/>
        <v>-9.9225289158362406E-10</v>
      </c>
      <c r="H35" s="25">
        <f t="shared" si="2"/>
        <v>1</v>
      </c>
      <c r="I35" s="26">
        <v>45421.415300000001</v>
      </c>
      <c r="J35" s="27">
        <v>9.2229159999999994E-3</v>
      </c>
      <c r="K35" s="28">
        <f t="shared" si="1"/>
        <v>0.52664511682299409</v>
      </c>
      <c r="L35" s="29">
        <f t="shared" si="3"/>
        <v>0</v>
      </c>
    </row>
    <row r="36" spans="2:12" x14ac:dyDescent="0.25">
      <c r="B36" s="43" t="s">
        <v>281</v>
      </c>
      <c r="C36" s="30">
        <v>36155.188434904943</v>
      </c>
      <c r="D36" s="31">
        <v>0.66186279999999997</v>
      </c>
      <c r="E36" s="22">
        <v>36155.188399999999</v>
      </c>
      <c r="F36" s="23">
        <v>1.5401556169999999</v>
      </c>
      <c r="G36" s="24">
        <f t="shared" si="0"/>
        <v>-9.6542005995650128E-10</v>
      </c>
      <c r="H36" s="25">
        <f t="shared" si="2"/>
        <v>1</v>
      </c>
      <c r="I36" s="26">
        <v>42623.023699999998</v>
      </c>
      <c r="J36" s="27">
        <v>8.4627910000000008E-3</v>
      </c>
      <c r="K36" s="28">
        <f t="shared" si="1"/>
        <v>0.17889092949245639</v>
      </c>
      <c r="L36" s="29">
        <f t="shared" si="3"/>
        <v>0</v>
      </c>
    </row>
    <row r="37" spans="2:12" x14ac:dyDescent="0.25">
      <c r="B37" s="43" t="s">
        <v>282</v>
      </c>
      <c r="C37" s="30">
        <v>21096.635790098411</v>
      </c>
      <c r="D37" s="31">
        <v>0.66631289999999999</v>
      </c>
      <c r="E37" s="22">
        <v>21096.6358</v>
      </c>
      <c r="F37" s="23">
        <v>1.3859775990000001</v>
      </c>
      <c r="G37" s="24">
        <f t="shared" si="0"/>
        <v>4.6934444340719808E-10</v>
      </c>
      <c r="H37" s="25">
        <f t="shared" si="2"/>
        <v>1</v>
      </c>
      <c r="I37" s="26">
        <v>27007.758600000001</v>
      </c>
      <c r="J37" s="27">
        <v>8.830414E-3</v>
      </c>
      <c r="K37" s="28">
        <f t="shared" si="1"/>
        <v>0.28019267473328341</v>
      </c>
      <c r="L37" s="29">
        <f t="shared" si="3"/>
        <v>0</v>
      </c>
    </row>
    <row r="38" spans="2:12" x14ac:dyDescent="0.25">
      <c r="B38" s="43" t="s">
        <v>283</v>
      </c>
      <c r="C38" s="30">
        <v>22681.522713523242</v>
      </c>
      <c r="D38" s="31">
        <v>0.62215319999999996</v>
      </c>
      <c r="E38" s="22">
        <v>22681.522700000001</v>
      </c>
      <c r="F38" s="23">
        <v>1.4455259389999999</v>
      </c>
      <c r="G38" s="24">
        <f t="shared" si="0"/>
        <v>-5.9622277179877059E-10</v>
      </c>
      <c r="H38" s="25">
        <f t="shared" si="2"/>
        <v>1</v>
      </c>
      <c r="I38" s="26">
        <v>26479.227599999998</v>
      </c>
      <c r="J38" s="27">
        <v>8.4528829999999996E-3</v>
      </c>
      <c r="K38" s="28">
        <f t="shared" si="1"/>
        <v>0.16743606390290888</v>
      </c>
      <c r="L38" s="29">
        <f t="shared" si="3"/>
        <v>0</v>
      </c>
    </row>
    <row r="39" spans="2:12" x14ac:dyDescent="0.25">
      <c r="B39" s="43" t="s">
        <v>284</v>
      </c>
      <c r="C39" s="30">
        <v>39584.830993248739</v>
      </c>
      <c r="D39" s="31">
        <v>0.65314660000000002</v>
      </c>
      <c r="E39" s="22">
        <v>39584.830999999998</v>
      </c>
      <c r="F39" s="23">
        <v>1.437130147</v>
      </c>
      <c r="G39" s="24">
        <f t="shared" si="0"/>
        <v>1.7055167440137969E-10</v>
      </c>
      <c r="H39" s="25">
        <f t="shared" si="2"/>
        <v>1</v>
      </c>
      <c r="I39" s="26">
        <v>50740.691899999998</v>
      </c>
      <c r="J39" s="27">
        <v>8.5442139999999996E-3</v>
      </c>
      <c r="K39" s="28">
        <f t="shared" si="1"/>
        <v>0.28182161264384104</v>
      </c>
      <c r="L39" s="29">
        <f t="shared" si="3"/>
        <v>0</v>
      </c>
    </row>
    <row r="40" spans="2:12" x14ac:dyDescent="0.25">
      <c r="B40" s="43" t="s">
        <v>285</v>
      </c>
      <c r="C40" s="30">
        <v>38899.66334934732</v>
      </c>
      <c r="D40" s="31">
        <v>0.64805409999999997</v>
      </c>
      <c r="E40" s="22">
        <v>38899.6633</v>
      </c>
      <c r="F40" s="23">
        <v>1.4949094009999999</v>
      </c>
      <c r="G40" s="24">
        <f t="shared" si="0"/>
        <v>-1.2685796128844347E-9</v>
      </c>
      <c r="H40" s="25">
        <f t="shared" si="2"/>
        <v>1</v>
      </c>
      <c r="I40" s="26">
        <v>45384.128400000001</v>
      </c>
      <c r="J40" s="27">
        <v>7.7719570000000003E-3</v>
      </c>
      <c r="K40" s="28">
        <f t="shared" si="1"/>
        <v>0.16669720229754845</v>
      </c>
      <c r="L40" s="29">
        <f t="shared" si="3"/>
        <v>0</v>
      </c>
    </row>
    <row r="41" spans="2:12" x14ac:dyDescent="0.25">
      <c r="B41" s="43" t="s">
        <v>286</v>
      </c>
      <c r="C41" s="30">
        <v>48144.508695227683</v>
      </c>
      <c r="D41" s="31">
        <v>1.7075582</v>
      </c>
      <c r="E41" s="22">
        <v>48144.508699999998</v>
      </c>
      <c r="F41" s="23">
        <v>1.5169735929999999</v>
      </c>
      <c r="G41" s="24">
        <f t="shared" si="0"/>
        <v>9.9124807384963348E-11</v>
      </c>
      <c r="H41" s="25">
        <f t="shared" si="2"/>
        <v>1</v>
      </c>
      <c r="I41" s="26">
        <v>63037.338499999998</v>
      </c>
      <c r="J41" s="27">
        <v>1.5819666E-2</v>
      </c>
      <c r="K41" s="28">
        <f t="shared" si="1"/>
        <v>0.30933600130908728</v>
      </c>
      <c r="L41" s="29">
        <f t="shared" si="3"/>
        <v>0</v>
      </c>
    </row>
    <row r="42" spans="2:12" x14ac:dyDescent="0.25">
      <c r="B42" s="43" t="s">
        <v>287</v>
      </c>
      <c r="C42" s="30">
        <v>39402.599520938224</v>
      </c>
      <c r="D42" s="31">
        <v>1.4046213000000001</v>
      </c>
      <c r="E42" s="22">
        <v>39402.599499999997</v>
      </c>
      <c r="F42" s="23">
        <v>1.5241019419999999</v>
      </c>
      <c r="G42" s="24">
        <f t="shared" si="0"/>
        <v>-5.3139202001183795E-10</v>
      </c>
      <c r="H42" s="25">
        <f t="shared" si="2"/>
        <v>1</v>
      </c>
      <c r="I42" s="26">
        <v>45775.9041</v>
      </c>
      <c r="J42" s="27">
        <v>7.9459760000000004E-3</v>
      </c>
      <c r="K42" s="28">
        <f t="shared" si="1"/>
        <v>0.16174832768774694</v>
      </c>
      <c r="L42" s="29">
        <f t="shared" si="3"/>
        <v>0</v>
      </c>
    </row>
    <row r="43" spans="2:12" x14ac:dyDescent="0.25">
      <c r="B43" s="43" t="s">
        <v>288</v>
      </c>
      <c r="C43" s="30">
        <v>49902.462027339854</v>
      </c>
      <c r="D43" s="31">
        <v>1.9496614000000001</v>
      </c>
      <c r="E43" s="22">
        <v>49902.462</v>
      </c>
      <c r="F43" s="23">
        <v>1.6139846689999999</v>
      </c>
      <c r="G43" s="24">
        <f t="shared" si="0"/>
        <v>-5.4786584585205672E-10</v>
      </c>
      <c r="H43" s="25">
        <f t="shared" si="2"/>
        <v>1</v>
      </c>
      <c r="I43" s="26">
        <v>58610.264199999998</v>
      </c>
      <c r="J43" s="27">
        <v>8.379605E-3</v>
      </c>
      <c r="K43" s="28">
        <f t="shared" si="1"/>
        <v>0.17449644404096609</v>
      </c>
      <c r="L43" s="29">
        <f t="shared" si="3"/>
        <v>0</v>
      </c>
    </row>
    <row r="44" spans="2:12" x14ac:dyDescent="0.25">
      <c r="B44" s="43" t="s">
        <v>289</v>
      </c>
      <c r="C44" s="30">
        <v>12152.304260778328</v>
      </c>
      <c r="D44" s="31">
        <v>0.61092080000000004</v>
      </c>
      <c r="E44" s="22">
        <v>12152.3043</v>
      </c>
      <c r="F44" s="23">
        <v>0.47686811699999998</v>
      </c>
      <c r="G44" s="24">
        <f t="shared" si="0"/>
        <v>3.227509019850669E-9</v>
      </c>
      <c r="H44" s="25">
        <f t="shared" si="2"/>
        <v>1</v>
      </c>
      <c r="I44" s="26">
        <v>13309.288399999999</v>
      </c>
      <c r="J44" s="27">
        <v>4.214097E-3</v>
      </c>
      <c r="K44" s="28">
        <f t="shared" si="1"/>
        <v>9.5206975927672258E-2</v>
      </c>
      <c r="L44" s="29">
        <f t="shared" si="3"/>
        <v>0</v>
      </c>
    </row>
    <row r="45" spans="2:12" x14ac:dyDescent="0.25">
      <c r="B45" s="43" t="s">
        <v>290</v>
      </c>
      <c r="C45" s="30">
        <v>14926.329667990003</v>
      </c>
      <c r="D45" s="31">
        <v>0.52567900000000001</v>
      </c>
      <c r="E45" s="22">
        <v>14926.3297</v>
      </c>
      <c r="F45" s="23">
        <v>0.50039608000000002</v>
      </c>
      <c r="G45" s="24">
        <f t="shared" si="0"/>
        <v>2.1445323664273696E-9</v>
      </c>
      <c r="H45" s="25">
        <f t="shared" si="2"/>
        <v>1</v>
      </c>
      <c r="I45" s="26">
        <v>16446.020700000001</v>
      </c>
      <c r="J45" s="27">
        <v>4.0988500000000002E-3</v>
      </c>
      <c r="K45" s="28">
        <f t="shared" si="1"/>
        <v>0.10181277419250791</v>
      </c>
      <c r="L45" s="29">
        <f t="shared" si="3"/>
        <v>0</v>
      </c>
    </row>
    <row r="46" spans="2:12" x14ac:dyDescent="0.25">
      <c r="B46" s="43" t="s">
        <v>291</v>
      </c>
      <c r="C46" s="30">
        <v>15473.060063441102</v>
      </c>
      <c r="D46" s="31">
        <v>4.5432497999999999</v>
      </c>
      <c r="E46" s="22">
        <v>15473.060100000001</v>
      </c>
      <c r="F46" s="23">
        <v>0.55002540600000005</v>
      </c>
      <c r="G46" s="24">
        <f t="shared" si="0"/>
        <v>2.3627452068705817E-9</v>
      </c>
      <c r="H46" s="25">
        <f t="shared" si="2"/>
        <v>1</v>
      </c>
      <c r="I46" s="26">
        <v>18719.370299999999</v>
      </c>
      <c r="J46" s="27">
        <v>4.0389170000000004E-3</v>
      </c>
      <c r="K46" s="28">
        <f t="shared" si="1"/>
        <v>0.20980402216812305</v>
      </c>
      <c r="L46" s="29">
        <f t="shared" si="3"/>
        <v>0</v>
      </c>
    </row>
    <row r="47" spans="2:12" x14ac:dyDescent="0.25">
      <c r="B47" s="43" t="s">
        <v>292</v>
      </c>
      <c r="C47" s="30">
        <v>20963.766001909011</v>
      </c>
      <c r="D47" s="31">
        <v>0.74130890000000005</v>
      </c>
      <c r="E47" s="22">
        <v>20963.766</v>
      </c>
      <c r="F47" s="23">
        <v>0.42629623999999999</v>
      </c>
      <c r="G47" s="24">
        <f t="shared" si="0"/>
        <v>-9.1062416407123685E-11</v>
      </c>
      <c r="H47" s="25">
        <f t="shared" si="2"/>
        <v>1</v>
      </c>
      <c r="I47" s="26">
        <v>21852.729200000002</v>
      </c>
      <c r="J47" s="27">
        <v>4.5017900000000003E-3</v>
      </c>
      <c r="K47" s="28">
        <f t="shared" si="1"/>
        <v>4.2404747220038598E-2</v>
      </c>
      <c r="L47" s="29">
        <f t="shared" si="3"/>
        <v>0</v>
      </c>
    </row>
    <row r="48" spans="2:12" x14ac:dyDescent="0.25">
      <c r="B48" s="43" t="s">
        <v>293</v>
      </c>
      <c r="C48" s="30">
        <v>21909.01310633128</v>
      </c>
      <c r="D48" s="31">
        <v>3.6340878000000001</v>
      </c>
      <c r="E48" s="22">
        <v>21909.0131</v>
      </c>
      <c r="F48" s="23">
        <v>0.44365979799999999</v>
      </c>
      <c r="G48" s="24">
        <f t="shared" si="0"/>
        <v>-2.8898061216356187E-10</v>
      </c>
      <c r="H48" s="25">
        <f t="shared" si="2"/>
        <v>1</v>
      </c>
      <c r="I48" s="26">
        <v>22115.431499999999</v>
      </c>
      <c r="J48" s="27">
        <v>5.1947670000000003E-3</v>
      </c>
      <c r="K48" s="28">
        <f t="shared" si="1"/>
        <v>9.4216198907228609E-3</v>
      </c>
      <c r="L48" s="29">
        <f t="shared" si="3"/>
        <v>0</v>
      </c>
    </row>
    <row r="49" spans="2:12" x14ac:dyDescent="0.25">
      <c r="B49" s="43" t="s">
        <v>294</v>
      </c>
      <c r="C49" s="30">
        <v>13531.110034346446</v>
      </c>
      <c r="D49" s="31">
        <v>0.79617450000000001</v>
      </c>
      <c r="E49" s="22">
        <v>13531.11</v>
      </c>
      <c r="F49" s="23">
        <v>0.486713232</v>
      </c>
      <c r="G49" s="24">
        <f t="shared" si="0"/>
        <v>-2.5383316838674692E-9</v>
      </c>
      <c r="H49" s="25">
        <f t="shared" si="2"/>
        <v>1</v>
      </c>
      <c r="I49" s="26">
        <v>17352.126499999998</v>
      </c>
      <c r="J49" s="27">
        <v>4.975073E-3</v>
      </c>
      <c r="K49" s="28">
        <f t="shared" si="1"/>
        <v>0.28238750966879622</v>
      </c>
      <c r="L49" s="29">
        <f t="shared" si="3"/>
        <v>0</v>
      </c>
    </row>
    <row r="50" spans="2:12" x14ac:dyDescent="0.25">
      <c r="B50" s="43" t="s">
        <v>295</v>
      </c>
      <c r="C50" s="30">
        <v>17384.836866620499</v>
      </c>
      <c r="D50" s="31">
        <v>0.63611810000000002</v>
      </c>
      <c r="E50" s="22">
        <v>17384.836899999998</v>
      </c>
      <c r="F50" s="23">
        <v>0.431883723</v>
      </c>
      <c r="G50" s="24">
        <f t="shared" si="0"/>
        <v>1.9200352531966474E-9</v>
      </c>
      <c r="H50" s="25">
        <f t="shared" si="2"/>
        <v>1</v>
      </c>
      <c r="I50" s="26">
        <v>18521.329699999998</v>
      </c>
      <c r="J50" s="27">
        <v>7.6497680000000004E-3</v>
      </c>
      <c r="K50" s="28">
        <f t="shared" si="1"/>
        <v>6.5372648710992853E-2</v>
      </c>
      <c r="L50" s="29">
        <f t="shared" si="3"/>
        <v>0</v>
      </c>
    </row>
    <row r="51" spans="2:12" x14ac:dyDescent="0.25">
      <c r="B51" s="43" t="s">
        <v>296</v>
      </c>
      <c r="C51" s="30">
        <v>17663.179194400203</v>
      </c>
      <c r="D51" s="31">
        <v>1.6020546</v>
      </c>
      <c r="E51" s="22">
        <v>17663.179199999999</v>
      </c>
      <c r="F51" s="23">
        <v>0.47135175800000001</v>
      </c>
      <c r="G51" s="24">
        <f t="shared" si="0"/>
        <v>3.1703212637843279E-10</v>
      </c>
      <c r="H51" s="25">
        <f t="shared" si="2"/>
        <v>1</v>
      </c>
      <c r="I51" s="26">
        <v>17695.726500000001</v>
      </c>
      <c r="J51" s="27">
        <v>7.8291060000000006E-3</v>
      </c>
      <c r="K51" s="28">
        <f t="shared" si="1"/>
        <v>1.8426640663938799E-3</v>
      </c>
      <c r="L51" s="29">
        <f t="shared" si="3"/>
        <v>0</v>
      </c>
    </row>
    <row r="52" spans="2:12" x14ac:dyDescent="0.25">
      <c r="B52" s="43" t="s">
        <v>297</v>
      </c>
      <c r="C52" s="30">
        <v>14402.93914754554</v>
      </c>
      <c r="D52" s="31">
        <v>1.7307182000000001</v>
      </c>
      <c r="E52" s="22">
        <v>14402.9391</v>
      </c>
      <c r="F52" s="23">
        <v>0.441052047</v>
      </c>
      <c r="G52" s="24">
        <f t="shared" si="0"/>
        <v>-3.3010998269997803E-9</v>
      </c>
      <c r="H52" s="25">
        <f t="shared" si="2"/>
        <v>1</v>
      </c>
      <c r="I52" s="26">
        <v>14865.496300000001</v>
      </c>
      <c r="J52" s="27">
        <v>7.5800160000000002E-3</v>
      </c>
      <c r="K52" s="28">
        <f t="shared" si="1"/>
        <v>3.2115469468833195E-2</v>
      </c>
      <c r="L52" s="29">
        <f t="shared" si="3"/>
        <v>0</v>
      </c>
    </row>
    <row r="53" spans="2:12" x14ac:dyDescent="0.25">
      <c r="B53" s="43" t="s">
        <v>298</v>
      </c>
      <c r="C53" s="30">
        <v>14916.287803178373</v>
      </c>
      <c r="D53" s="31">
        <v>1.8774754</v>
      </c>
      <c r="E53" s="22">
        <v>14916.2878</v>
      </c>
      <c r="F53" s="23">
        <v>0.50271234399999998</v>
      </c>
      <c r="G53" s="24">
        <f t="shared" si="0"/>
        <v>-2.1308069255885019E-10</v>
      </c>
      <c r="H53" s="25">
        <f t="shared" si="2"/>
        <v>1</v>
      </c>
      <c r="I53" s="26">
        <v>16206.695100000001</v>
      </c>
      <c r="J53" s="27">
        <v>6.4830970000000002E-3</v>
      </c>
      <c r="K53" s="28">
        <f t="shared" si="1"/>
        <v>8.6509948979843834E-2</v>
      </c>
      <c r="L53" s="29">
        <f t="shared" si="3"/>
        <v>0</v>
      </c>
    </row>
    <row r="54" spans="2:12" x14ac:dyDescent="0.25">
      <c r="B54" s="43" t="s">
        <v>299</v>
      </c>
      <c r="C54" s="30">
        <v>16779.640882214251</v>
      </c>
      <c r="D54" s="31">
        <v>0.64407709999999996</v>
      </c>
      <c r="E54" s="22">
        <v>16779.640899999999</v>
      </c>
      <c r="F54" s="23">
        <v>0.784845652</v>
      </c>
      <c r="G54" s="24">
        <f t="shared" si="0"/>
        <v>1.0599599512676174E-9</v>
      </c>
      <c r="H54" s="25">
        <f t="shared" si="2"/>
        <v>1</v>
      </c>
      <c r="I54" s="26">
        <v>17192.043099999999</v>
      </c>
      <c r="J54" s="27">
        <v>9.0867169999999994E-3</v>
      </c>
      <c r="K54" s="28">
        <f t="shared" si="1"/>
        <v>2.4577535400228837E-2</v>
      </c>
      <c r="L54" s="29">
        <f t="shared" si="3"/>
        <v>0</v>
      </c>
    </row>
    <row r="55" spans="2:12" x14ac:dyDescent="0.25">
      <c r="B55" s="43" t="s">
        <v>300</v>
      </c>
      <c r="C55" s="30">
        <v>17803.503014330596</v>
      </c>
      <c r="D55" s="31">
        <v>2.2823457999999999</v>
      </c>
      <c r="E55" s="22">
        <v>17803.503000000001</v>
      </c>
      <c r="F55" s="23">
        <v>0.65263259900000004</v>
      </c>
      <c r="G55" s="24">
        <f t="shared" si="0"/>
        <v>-8.0493120584884201E-10</v>
      </c>
      <c r="H55" s="25">
        <f t="shared" si="2"/>
        <v>1</v>
      </c>
      <c r="I55" s="26">
        <v>19892.398300000001</v>
      </c>
      <c r="J55" s="27">
        <v>8.0596309999999994E-3</v>
      </c>
      <c r="K55" s="28">
        <f t="shared" si="1"/>
        <v>0.11733057724583684</v>
      </c>
      <c r="L55" s="29">
        <f t="shared" si="3"/>
        <v>0</v>
      </c>
    </row>
    <row r="56" spans="2:12" x14ac:dyDescent="0.25">
      <c r="B56" s="43" t="s">
        <v>301</v>
      </c>
      <c r="C56" s="30">
        <v>12530.893385602018</v>
      </c>
      <c r="D56" s="31">
        <v>0.712565</v>
      </c>
      <c r="E56" s="22">
        <v>12530.893400000001</v>
      </c>
      <c r="F56" s="23">
        <v>0.74549594799999996</v>
      </c>
      <c r="G56" s="24">
        <f t="shared" si="0"/>
        <v>1.1489989426160988E-9</v>
      </c>
      <c r="H56" s="25">
        <f t="shared" si="2"/>
        <v>1</v>
      </c>
      <c r="I56" s="26">
        <v>13397.833199999999</v>
      </c>
      <c r="J56" s="27">
        <v>5.6742019999999997E-3</v>
      </c>
      <c r="K56" s="28">
        <f t="shared" si="1"/>
        <v>6.9184198422284432E-2</v>
      </c>
      <c r="L56" s="29">
        <f t="shared" si="3"/>
        <v>0</v>
      </c>
    </row>
    <row r="57" spans="2:12" x14ac:dyDescent="0.25">
      <c r="B57" s="43" t="s">
        <v>302</v>
      </c>
      <c r="C57" s="30">
        <v>9961.1602210213096</v>
      </c>
      <c r="D57" s="31">
        <v>1.8492831999999999</v>
      </c>
      <c r="E57" s="22">
        <v>9961.1602000000003</v>
      </c>
      <c r="F57" s="23">
        <v>0.72911617100000004</v>
      </c>
      <c r="G57" s="24">
        <f t="shared" si="0"/>
        <v>-2.1103273943725907E-9</v>
      </c>
      <c r="H57" s="25">
        <f t="shared" si="2"/>
        <v>1</v>
      </c>
      <c r="I57" s="26">
        <v>10622.9372</v>
      </c>
      <c r="J57" s="27">
        <v>5.3963179999999998E-3</v>
      </c>
      <c r="K57" s="28">
        <f t="shared" si="1"/>
        <v>6.6435732815754198E-2</v>
      </c>
      <c r="L57" s="29">
        <f t="shared" si="3"/>
        <v>0</v>
      </c>
    </row>
    <row r="58" spans="2:12" x14ac:dyDescent="0.25">
      <c r="B58" s="43" t="s">
        <v>303</v>
      </c>
      <c r="C58" s="30">
        <v>15019.942909157184</v>
      </c>
      <c r="D58" s="31">
        <v>1.0172219</v>
      </c>
      <c r="E58" s="22">
        <v>15019.9429</v>
      </c>
      <c r="F58" s="23">
        <v>0.87650227300000005</v>
      </c>
      <c r="G58" s="24">
        <f t="shared" si="0"/>
        <v>-6.0966834531632999E-10</v>
      </c>
      <c r="H58" s="25">
        <f t="shared" si="2"/>
        <v>1</v>
      </c>
      <c r="I58" s="26">
        <v>17214.9398</v>
      </c>
      <c r="J58" s="27">
        <v>5.2154469999999998E-3</v>
      </c>
      <c r="K58" s="28">
        <f t="shared" si="1"/>
        <v>0.14613883049479479</v>
      </c>
      <c r="L58" s="29">
        <f t="shared" si="3"/>
        <v>0</v>
      </c>
    </row>
    <row r="59" spans="2:12" x14ac:dyDescent="0.25">
      <c r="B59" s="43" t="s">
        <v>304</v>
      </c>
      <c r="C59" s="30">
        <v>13874.892707625089</v>
      </c>
      <c r="D59" s="31">
        <v>0.75291949999999996</v>
      </c>
      <c r="E59" s="22">
        <v>13874.8927</v>
      </c>
      <c r="F59" s="23">
        <v>0.80530298300000003</v>
      </c>
      <c r="G59" s="24">
        <f t="shared" si="0"/>
        <v>-5.4956021239294781E-10</v>
      </c>
      <c r="H59" s="25">
        <f t="shared" si="2"/>
        <v>1</v>
      </c>
      <c r="I59" s="26">
        <v>15571.0676</v>
      </c>
      <c r="J59" s="27">
        <v>5.3441699999999996E-3</v>
      </c>
      <c r="K59" s="28">
        <f t="shared" si="1"/>
        <v>0.12224778440576775</v>
      </c>
      <c r="L59" s="29">
        <f t="shared" si="3"/>
        <v>0</v>
      </c>
    </row>
    <row r="60" spans="2:12" x14ac:dyDescent="0.25">
      <c r="B60" s="43" t="s">
        <v>305</v>
      </c>
      <c r="C60" s="30">
        <v>12728.674960488979</v>
      </c>
      <c r="D60" s="31">
        <v>0.69179849999999998</v>
      </c>
      <c r="E60" s="22">
        <v>12728.674999999999</v>
      </c>
      <c r="F60" s="23">
        <v>0.74322876699999996</v>
      </c>
      <c r="G60" s="24">
        <f t="shared" si="0"/>
        <v>3.1040952966187907E-9</v>
      </c>
      <c r="H60" s="25">
        <f t="shared" si="2"/>
        <v>1</v>
      </c>
      <c r="I60" s="26">
        <v>14357.9907</v>
      </c>
      <c r="J60" s="27">
        <v>5.0143260000000004E-3</v>
      </c>
      <c r="K60" s="28">
        <f t="shared" si="1"/>
        <v>0.12800356239503111</v>
      </c>
      <c r="L60" s="29">
        <f t="shared" si="3"/>
        <v>0</v>
      </c>
    </row>
    <row r="61" spans="2:12" x14ac:dyDescent="0.25">
      <c r="B61" s="43" t="s">
        <v>306</v>
      </c>
      <c r="C61" s="30">
        <v>16406.158900903039</v>
      </c>
      <c r="D61" s="31">
        <v>0.58968529999999997</v>
      </c>
      <c r="E61" s="22">
        <v>16406.158899999999</v>
      </c>
      <c r="F61" s="23">
        <v>0.771862198</v>
      </c>
      <c r="G61" s="24">
        <f t="shared" si="0"/>
        <v>-5.5042800257130372E-11</v>
      </c>
      <c r="H61" s="25">
        <f t="shared" si="2"/>
        <v>1</v>
      </c>
      <c r="I61" s="26">
        <v>19560.086299999999</v>
      </c>
      <c r="J61" s="27">
        <v>4.8650849999999999E-3</v>
      </c>
      <c r="K61" s="28">
        <f t="shared" si="1"/>
        <v>0.19224045178078575</v>
      </c>
      <c r="L61" s="29">
        <f t="shared" si="3"/>
        <v>0</v>
      </c>
    </row>
    <row r="62" spans="2:12" x14ac:dyDescent="0.25">
      <c r="B62" s="43" t="s">
        <v>307</v>
      </c>
      <c r="C62" s="30">
        <v>15475.924555201738</v>
      </c>
      <c r="D62" s="31">
        <v>0.80728520000000004</v>
      </c>
      <c r="E62" s="22">
        <v>15475.9246</v>
      </c>
      <c r="F62" s="23">
        <v>0.70142236700000005</v>
      </c>
      <c r="G62" s="24">
        <f t="shared" si="0"/>
        <v>2.8947066693574193E-9</v>
      </c>
      <c r="H62" s="25">
        <f t="shared" si="2"/>
        <v>1</v>
      </c>
      <c r="I62" s="26">
        <v>17057.622800000001</v>
      </c>
      <c r="J62" s="27">
        <v>4.8730809999999996E-3</v>
      </c>
      <c r="K62" s="28">
        <f t="shared" si="1"/>
        <v>0.102203796558741</v>
      </c>
      <c r="L62" s="29">
        <f t="shared" si="3"/>
        <v>0</v>
      </c>
    </row>
    <row r="63" spans="2:12" x14ac:dyDescent="0.25">
      <c r="B63" s="43" t="s">
        <v>308</v>
      </c>
      <c r="C63" s="30">
        <v>15875.968896217202</v>
      </c>
      <c r="D63" s="31">
        <v>0.70717149999999995</v>
      </c>
      <c r="E63" s="22">
        <v>15875.9689</v>
      </c>
      <c r="F63" s="23">
        <v>0.75843573099999995</v>
      </c>
      <c r="G63" s="24">
        <f t="shared" si="0"/>
        <v>2.3827192363398689E-10</v>
      </c>
      <c r="H63" s="25">
        <f t="shared" si="2"/>
        <v>1</v>
      </c>
      <c r="I63" s="26">
        <v>17533.5828</v>
      </c>
      <c r="J63" s="27">
        <v>4.8992100000000002E-3</v>
      </c>
      <c r="K63" s="28">
        <f t="shared" si="1"/>
        <v>0.10441025140694001</v>
      </c>
      <c r="L63" s="29">
        <f t="shared" si="3"/>
        <v>0</v>
      </c>
    </row>
    <row r="64" spans="2:12" x14ac:dyDescent="0.25">
      <c r="B64" s="43" t="s">
        <v>309</v>
      </c>
      <c r="C64" s="30">
        <v>5078.6945278307803</v>
      </c>
      <c r="D64" s="31">
        <v>0.61538300000000001</v>
      </c>
      <c r="E64" s="22">
        <v>5078.6944999999996</v>
      </c>
      <c r="F64" s="23">
        <v>1.0782488509999999</v>
      </c>
      <c r="G64" s="24">
        <f t="shared" si="0"/>
        <v>-5.4799083813422628E-9</v>
      </c>
      <c r="H64" s="25">
        <f t="shared" si="2"/>
        <v>1</v>
      </c>
      <c r="I64" s="26">
        <v>6689.6665000000003</v>
      </c>
      <c r="J64" s="27">
        <v>7.0161829999999996E-3</v>
      </c>
      <c r="K64" s="28">
        <f t="shared" si="1"/>
        <v>0.3172019823876473</v>
      </c>
      <c r="L64" s="29">
        <f t="shared" si="3"/>
        <v>0</v>
      </c>
    </row>
    <row r="65" spans="2:12" x14ac:dyDescent="0.25">
      <c r="B65" s="43" t="s">
        <v>310</v>
      </c>
      <c r="C65" s="30">
        <v>10865.537902907041</v>
      </c>
      <c r="D65" s="31">
        <v>0.66604030000000003</v>
      </c>
      <c r="E65" s="22">
        <v>10865.537899999999</v>
      </c>
      <c r="F65" s="23">
        <v>0.970655025</v>
      </c>
      <c r="G65" s="24">
        <f t="shared" si="0"/>
        <v>-2.6754695332306435E-10</v>
      </c>
      <c r="H65" s="25">
        <f t="shared" si="2"/>
        <v>1</v>
      </c>
      <c r="I65" s="26">
        <v>12103.1702</v>
      </c>
      <c r="J65" s="27">
        <v>2.1535406999999999E-2</v>
      </c>
      <c r="K65" s="28">
        <f t="shared" si="1"/>
        <v>0.11390437437633298</v>
      </c>
      <c r="L65" s="29">
        <f t="shared" si="3"/>
        <v>0</v>
      </c>
    </row>
    <row r="66" spans="2:12" x14ac:dyDescent="0.25">
      <c r="B66" s="43" t="s">
        <v>311</v>
      </c>
      <c r="C66" s="30">
        <v>12281.83902245816</v>
      </c>
      <c r="D66" s="31">
        <v>6.3900554999999999</v>
      </c>
      <c r="E66" s="22">
        <v>12281.839</v>
      </c>
      <c r="F66" s="23">
        <v>1.1556562079999999</v>
      </c>
      <c r="G66" s="24">
        <f t="shared" si="0"/>
        <v>-1.8285665449425197E-9</v>
      </c>
      <c r="H66" s="25">
        <f t="shared" si="2"/>
        <v>1</v>
      </c>
      <c r="I66" s="26">
        <v>12388.3496</v>
      </c>
      <c r="J66" s="27">
        <v>5.8424100000000001E-3</v>
      </c>
      <c r="K66" s="28">
        <f t="shared" si="1"/>
        <v>8.6722010724190404E-3</v>
      </c>
      <c r="L66" s="29">
        <f t="shared" si="3"/>
        <v>0</v>
      </c>
    </row>
    <row r="67" spans="2:12" x14ac:dyDescent="0.25">
      <c r="B67" s="43" t="s">
        <v>312</v>
      </c>
      <c r="C67" s="30">
        <v>18230.134990977505</v>
      </c>
      <c r="D67" s="31">
        <v>0.8657646</v>
      </c>
      <c r="E67" s="22">
        <v>18230.134999999998</v>
      </c>
      <c r="F67" s="23">
        <v>1.125327062</v>
      </c>
      <c r="G67" s="24">
        <f t="shared" si="0"/>
        <v>4.9492189916710292E-10</v>
      </c>
      <c r="H67" s="25">
        <f t="shared" si="2"/>
        <v>1</v>
      </c>
      <c r="I67" s="26">
        <v>19839.700199999999</v>
      </c>
      <c r="J67" s="27">
        <v>1.1806176999999999E-2</v>
      </c>
      <c r="K67" s="28">
        <f t="shared" si="1"/>
        <v>8.8291458610652254E-2</v>
      </c>
      <c r="L67" s="29">
        <f t="shared" si="3"/>
        <v>0</v>
      </c>
    </row>
    <row r="68" spans="2:12" x14ac:dyDescent="0.25">
      <c r="B68" s="43" t="s">
        <v>313</v>
      </c>
      <c r="C68" s="30">
        <v>10964.907633647228</v>
      </c>
      <c r="D68" s="31">
        <v>0.66835990000000001</v>
      </c>
      <c r="E68" s="22">
        <v>10964.9076</v>
      </c>
      <c r="F68" s="23">
        <v>0.92561208100000003</v>
      </c>
      <c r="G68" s="24">
        <f t="shared" ref="G68:G123" si="4">(E68-C68)/C68</f>
        <v>-3.0686284585831035E-9</v>
      </c>
      <c r="H68" s="25">
        <f t="shared" si="2"/>
        <v>1</v>
      </c>
      <c r="I68" s="26">
        <v>12423.9198</v>
      </c>
      <c r="J68" s="27">
        <v>8.0065810000000005E-3</v>
      </c>
      <c r="K68" s="28">
        <f t="shared" ref="K68:K123" si="5">(I68-C68)/C68</f>
        <v>0.13306196596454722</v>
      </c>
      <c r="L68" s="29">
        <f t="shared" si="3"/>
        <v>0</v>
      </c>
    </row>
    <row r="69" spans="2:12" x14ac:dyDescent="0.25">
      <c r="B69" s="43" t="s">
        <v>314</v>
      </c>
      <c r="C69" s="30">
        <v>12208.127757228749</v>
      </c>
      <c r="D69" s="31">
        <v>0.84335959999999999</v>
      </c>
      <c r="E69" s="22">
        <v>12208.1278</v>
      </c>
      <c r="F69" s="23">
        <v>1.1212463619999999</v>
      </c>
      <c r="G69" s="24">
        <f t="shared" si="4"/>
        <v>3.5035061906494218E-9</v>
      </c>
      <c r="H69" s="25">
        <f t="shared" ref="H69:H123" si="6">IF(G69&lt;0.000001,1,0)</f>
        <v>1</v>
      </c>
      <c r="I69" s="26">
        <v>13311.852999999999</v>
      </c>
      <c r="J69" s="27">
        <v>9.9247580000000005E-3</v>
      </c>
      <c r="K69" s="28">
        <f t="shared" si="5"/>
        <v>9.0409050815978373E-2</v>
      </c>
      <c r="L69" s="29">
        <f t="shared" ref="L69:L123" si="7">IF(K69&lt;0.000001,1,0)</f>
        <v>0</v>
      </c>
    </row>
    <row r="70" spans="2:12" x14ac:dyDescent="0.25">
      <c r="B70" s="43" t="s">
        <v>315</v>
      </c>
      <c r="C70" s="30">
        <v>12570.379834995581</v>
      </c>
      <c r="D70" s="31">
        <v>1.6292735</v>
      </c>
      <c r="E70" s="22">
        <v>12570.379800000001</v>
      </c>
      <c r="F70" s="23">
        <v>1.020257929</v>
      </c>
      <c r="G70" s="24">
        <f t="shared" si="4"/>
        <v>-2.7839716261506843E-9</v>
      </c>
      <c r="H70" s="25">
        <f t="shared" si="6"/>
        <v>1</v>
      </c>
      <c r="I70" s="26">
        <v>16229.8511</v>
      </c>
      <c r="J70" s="27">
        <v>1.2195902E-2</v>
      </c>
      <c r="K70" s="28">
        <f t="shared" si="5"/>
        <v>0.29111859092885595</v>
      </c>
      <c r="L70" s="29">
        <f t="shared" si="7"/>
        <v>0</v>
      </c>
    </row>
    <row r="71" spans="2:12" x14ac:dyDescent="0.25">
      <c r="B71" s="43" t="s">
        <v>316</v>
      </c>
      <c r="C71" s="30">
        <v>12290.253190313368</v>
      </c>
      <c r="D71" s="31">
        <v>0.74384689999999998</v>
      </c>
      <c r="E71" s="22">
        <v>12290.253199999999</v>
      </c>
      <c r="F71" s="23">
        <v>0.85055330799999995</v>
      </c>
      <c r="G71" s="24">
        <f t="shared" si="4"/>
        <v>7.8815557164664912E-10</v>
      </c>
      <c r="H71" s="25">
        <f t="shared" si="6"/>
        <v>1</v>
      </c>
      <c r="I71" s="26">
        <v>13630.4827</v>
      </c>
      <c r="J71" s="27">
        <v>1.0785711E-2</v>
      </c>
      <c r="K71" s="28">
        <f t="shared" si="5"/>
        <v>0.10904816108613143</v>
      </c>
      <c r="L71" s="29">
        <f t="shared" si="7"/>
        <v>0</v>
      </c>
    </row>
    <row r="72" spans="2:12" x14ac:dyDescent="0.25">
      <c r="B72" s="43" t="s">
        <v>317</v>
      </c>
      <c r="C72" s="30">
        <v>14250.958820328298</v>
      </c>
      <c r="D72" s="31">
        <v>2.3664399</v>
      </c>
      <c r="E72" s="22">
        <v>14250.9588</v>
      </c>
      <c r="F72" s="23">
        <v>1.041505127</v>
      </c>
      <c r="G72" s="24">
        <f t="shared" si="4"/>
        <v>-1.4264512468641583E-9</v>
      </c>
      <c r="H72" s="25">
        <f t="shared" si="6"/>
        <v>1</v>
      </c>
      <c r="I72" s="26">
        <v>17272.007600000001</v>
      </c>
      <c r="J72" s="27">
        <v>1.2686377E-2</v>
      </c>
      <c r="K72" s="28">
        <f t="shared" si="5"/>
        <v>0.21198915930921949</v>
      </c>
      <c r="L72" s="29">
        <f t="shared" si="7"/>
        <v>0</v>
      </c>
    </row>
    <row r="73" spans="2:12" x14ac:dyDescent="0.25">
      <c r="B73" s="43" t="s">
        <v>318</v>
      </c>
      <c r="C73" s="30">
        <v>14927.442585829898</v>
      </c>
      <c r="D73" s="31">
        <v>2.7517062999999999</v>
      </c>
      <c r="E73" s="22">
        <v>14927.4426</v>
      </c>
      <c r="F73" s="23">
        <v>1.0785439059999999</v>
      </c>
      <c r="G73" s="24">
        <f t="shared" si="4"/>
        <v>9.4926522042403613E-10</v>
      </c>
      <c r="H73" s="25">
        <f t="shared" si="6"/>
        <v>1</v>
      </c>
      <c r="I73" s="26">
        <v>17023.9614</v>
      </c>
      <c r="J73" s="27">
        <v>1.0419792000000001E-2</v>
      </c>
      <c r="K73" s="28">
        <f t="shared" si="5"/>
        <v>0.14044728707650528</v>
      </c>
      <c r="L73" s="29">
        <f t="shared" si="7"/>
        <v>0</v>
      </c>
    </row>
    <row r="74" spans="2:12" x14ac:dyDescent="0.25">
      <c r="B74" s="43" t="s">
        <v>319</v>
      </c>
      <c r="C74" s="30">
        <v>9048.8336699256542</v>
      </c>
      <c r="D74" s="31">
        <v>0.91373000000000004</v>
      </c>
      <c r="E74" s="22">
        <v>9048.8336999999992</v>
      </c>
      <c r="F74" s="23">
        <v>1.3608196020000001</v>
      </c>
      <c r="G74" s="24">
        <f t="shared" si="4"/>
        <v>3.3235603696630966E-9</v>
      </c>
      <c r="H74" s="25">
        <f t="shared" si="6"/>
        <v>1</v>
      </c>
      <c r="I74" s="26">
        <v>9647.1414000000004</v>
      </c>
      <c r="J74" s="27">
        <v>1.6284052E-2</v>
      </c>
      <c r="K74" s="28">
        <f t="shared" si="5"/>
        <v>6.6119872670757349E-2</v>
      </c>
      <c r="L74" s="29">
        <f t="shared" si="7"/>
        <v>0</v>
      </c>
    </row>
    <row r="75" spans="2:12" x14ac:dyDescent="0.25">
      <c r="B75" s="43" t="s">
        <v>320</v>
      </c>
      <c r="C75" s="30">
        <v>5851.3496724221486</v>
      </c>
      <c r="D75" s="31">
        <v>0.69923009999999997</v>
      </c>
      <c r="E75" s="22">
        <v>5851.3496999999998</v>
      </c>
      <c r="F75" s="23">
        <v>1.2251098060000001</v>
      </c>
      <c r="G75" s="24">
        <f t="shared" si="4"/>
        <v>4.7130752195933731E-9</v>
      </c>
      <c r="H75" s="25">
        <f t="shared" si="6"/>
        <v>1</v>
      </c>
      <c r="I75" s="26">
        <v>6380.5097999999998</v>
      </c>
      <c r="J75" s="27">
        <v>1.4369791999999999E-2</v>
      </c>
      <c r="K75" s="28">
        <f t="shared" si="5"/>
        <v>9.043385837490156E-2</v>
      </c>
      <c r="L75" s="29">
        <f t="shared" si="7"/>
        <v>0</v>
      </c>
    </row>
    <row r="76" spans="2:12" x14ac:dyDescent="0.25">
      <c r="B76" s="43" t="s">
        <v>321</v>
      </c>
      <c r="C76" s="30">
        <v>9545.6078301371308</v>
      </c>
      <c r="D76" s="31">
        <v>0.65062589999999998</v>
      </c>
      <c r="E76" s="22">
        <v>9545.6077999999998</v>
      </c>
      <c r="F76" s="23">
        <v>1.374985407</v>
      </c>
      <c r="G76" s="24">
        <f t="shared" si="4"/>
        <v>-3.1571725520853738E-9</v>
      </c>
      <c r="H76" s="25">
        <f t="shared" si="6"/>
        <v>1</v>
      </c>
      <c r="I76" s="26">
        <v>10353.3932</v>
      </c>
      <c r="J76" s="27">
        <v>2.0733854999999999E-2</v>
      </c>
      <c r="K76" s="28">
        <f t="shared" si="5"/>
        <v>8.4623775063600651E-2</v>
      </c>
      <c r="L76" s="29">
        <f t="shared" si="7"/>
        <v>0</v>
      </c>
    </row>
    <row r="77" spans="2:12" x14ac:dyDescent="0.25">
      <c r="B77" s="43" t="s">
        <v>322</v>
      </c>
      <c r="C77" s="30">
        <v>7962.4785908507001</v>
      </c>
      <c r="D77" s="31">
        <v>0.69752800000000004</v>
      </c>
      <c r="E77" s="22">
        <v>7962.4786000000004</v>
      </c>
      <c r="F77" s="23">
        <v>1.4804234620000001</v>
      </c>
      <c r="G77" s="24">
        <f t="shared" si="4"/>
        <v>1.1490517852832478E-9</v>
      </c>
      <c r="H77" s="25">
        <f t="shared" si="6"/>
        <v>1</v>
      </c>
      <c r="I77" s="26">
        <v>8882.5215000000007</v>
      </c>
      <c r="J77" s="27">
        <v>1.5208493E-2</v>
      </c>
      <c r="K77" s="28">
        <f t="shared" si="5"/>
        <v>0.11554730083751528</v>
      </c>
      <c r="L77" s="29">
        <f t="shared" si="7"/>
        <v>0</v>
      </c>
    </row>
    <row r="78" spans="2:12" x14ac:dyDescent="0.25">
      <c r="B78" s="43" t="s">
        <v>323</v>
      </c>
      <c r="C78" s="30">
        <v>9464.6782951567275</v>
      </c>
      <c r="D78" s="31">
        <v>1.0855212000000001</v>
      </c>
      <c r="E78" s="22">
        <v>9464.6782999999996</v>
      </c>
      <c r="F78" s="23">
        <v>1.3118351269999999</v>
      </c>
      <c r="G78" s="24">
        <f t="shared" si="4"/>
        <v>5.1172073235489264E-10</v>
      </c>
      <c r="H78" s="25">
        <f t="shared" si="6"/>
        <v>1</v>
      </c>
      <c r="I78" s="26">
        <v>9823.2631000000001</v>
      </c>
      <c r="J78" s="27">
        <v>1.7259120999999999E-2</v>
      </c>
      <c r="K78" s="28">
        <f t="shared" si="5"/>
        <v>3.7886634247966774E-2</v>
      </c>
      <c r="L78" s="29">
        <f t="shared" si="7"/>
        <v>0</v>
      </c>
    </row>
    <row r="79" spans="2:12" x14ac:dyDescent="0.25">
      <c r="B79" s="43" t="s">
        <v>324</v>
      </c>
      <c r="C79" s="30">
        <v>9922.5582497933756</v>
      </c>
      <c r="D79" s="31">
        <v>0.70877639999999997</v>
      </c>
      <c r="E79" s="22">
        <v>9922.5581999999995</v>
      </c>
      <c r="F79" s="23">
        <v>1.26872136</v>
      </c>
      <c r="G79" s="24">
        <f t="shared" si="4"/>
        <v>-5.0181994238837612E-9</v>
      </c>
      <c r="H79" s="25">
        <f t="shared" si="6"/>
        <v>1</v>
      </c>
      <c r="I79" s="26">
        <v>10573.3336</v>
      </c>
      <c r="J79" s="27">
        <v>1.7125118000000002E-2</v>
      </c>
      <c r="K79" s="28">
        <f t="shared" si="5"/>
        <v>6.5585440147975543E-2</v>
      </c>
      <c r="L79" s="29">
        <f t="shared" si="7"/>
        <v>0</v>
      </c>
    </row>
    <row r="80" spans="2:12" x14ac:dyDescent="0.25">
      <c r="B80" s="43" t="s">
        <v>325</v>
      </c>
      <c r="C80" s="30">
        <v>13591.713371638982</v>
      </c>
      <c r="D80" s="31">
        <v>0.7528203</v>
      </c>
      <c r="E80" s="22">
        <v>13591.713400000001</v>
      </c>
      <c r="F80" s="23">
        <v>1.512267187</v>
      </c>
      <c r="G80" s="24">
        <f t="shared" si="4"/>
        <v>2.0866404457979484E-9</v>
      </c>
      <c r="H80" s="25">
        <f t="shared" si="6"/>
        <v>1</v>
      </c>
      <c r="I80" s="26">
        <v>16110.040800000001</v>
      </c>
      <c r="J80" s="27">
        <v>7.0425519999999997E-3</v>
      </c>
      <c r="K80" s="28">
        <f t="shared" si="5"/>
        <v>0.18528403001904548</v>
      </c>
      <c r="L80" s="29">
        <f t="shared" si="7"/>
        <v>0</v>
      </c>
    </row>
    <row r="81" spans="2:12" x14ac:dyDescent="0.25">
      <c r="B81" s="43" t="s">
        <v>326</v>
      </c>
      <c r="C81" s="30">
        <v>8327.7756385899265</v>
      </c>
      <c r="D81" s="31">
        <v>0.8592495</v>
      </c>
      <c r="E81" s="22">
        <v>8327.7756000000008</v>
      </c>
      <c r="F81" s="23">
        <v>1.314865505</v>
      </c>
      <c r="G81" s="24">
        <f t="shared" si="4"/>
        <v>-4.6338815254607398E-9</v>
      </c>
      <c r="H81" s="25">
        <f t="shared" si="6"/>
        <v>1</v>
      </c>
      <c r="I81" s="26">
        <v>8462.3669000000009</v>
      </c>
      <c r="J81" s="27">
        <v>7.2964420000000002E-3</v>
      </c>
      <c r="K81" s="28">
        <f t="shared" si="5"/>
        <v>1.616173000463586E-2</v>
      </c>
      <c r="L81" s="29">
        <f t="shared" si="7"/>
        <v>0</v>
      </c>
    </row>
    <row r="82" spans="2:12" x14ac:dyDescent="0.25">
      <c r="B82" s="43" t="s">
        <v>327</v>
      </c>
      <c r="C82" s="30">
        <v>11957.326747286945</v>
      </c>
      <c r="D82" s="31">
        <v>0.94905779999999995</v>
      </c>
      <c r="E82" s="22">
        <v>11957.3267</v>
      </c>
      <c r="F82" s="23">
        <v>1.3568288100000001</v>
      </c>
      <c r="G82" s="24">
        <f t="shared" si="4"/>
        <v>-3.9546418792490069E-9</v>
      </c>
      <c r="H82" s="25">
        <f t="shared" si="6"/>
        <v>1</v>
      </c>
      <c r="I82" s="26">
        <v>12657.4267</v>
      </c>
      <c r="J82" s="27">
        <v>6.9951730000000004E-3</v>
      </c>
      <c r="K82" s="28">
        <f t="shared" si="5"/>
        <v>5.8549872183755812E-2</v>
      </c>
      <c r="L82" s="29">
        <f t="shared" si="7"/>
        <v>0</v>
      </c>
    </row>
    <row r="83" spans="2:12" x14ac:dyDescent="0.25">
      <c r="B83" s="43" t="s">
        <v>328</v>
      </c>
      <c r="C83" s="30">
        <v>12202.882097322699</v>
      </c>
      <c r="D83" s="31">
        <v>0.83504610000000001</v>
      </c>
      <c r="E83" s="22">
        <v>12202.882100000001</v>
      </c>
      <c r="F83" s="23">
        <v>1.2934575749999999</v>
      </c>
      <c r="G83" s="24">
        <f t="shared" si="4"/>
        <v>2.1939910261602945E-10</v>
      </c>
      <c r="H83" s="25">
        <f t="shared" si="6"/>
        <v>1</v>
      </c>
      <c r="I83" s="26">
        <v>13517.9148</v>
      </c>
      <c r="J83" s="27">
        <v>7.7967549999999998E-3</v>
      </c>
      <c r="K83" s="28">
        <f t="shared" si="5"/>
        <v>0.10776410787135426</v>
      </c>
      <c r="L83" s="29">
        <f t="shared" si="7"/>
        <v>0</v>
      </c>
    </row>
    <row r="84" spans="2:12" x14ac:dyDescent="0.25">
      <c r="B84" s="43" t="s">
        <v>329</v>
      </c>
      <c r="C84" s="30">
        <v>10461.446895492427</v>
      </c>
      <c r="D84" s="31">
        <v>2.5537861999999998</v>
      </c>
      <c r="E84" s="22">
        <v>10461.446900000001</v>
      </c>
      <c r="F84" s="23">
        <v>0.41375455700000002</v>
      </c>
      <c r="G84" s="24">
        <f t="shared" si="4"/>
        <v>4.3087481314272721E-10</v>
      </c>
      <c r="H84" s="25">
        <f t="shared" si="6"/>
        <v>1</v>
      </c>
      <c r="I84" s="26">
        <v>11062.8037</v>
      </c>
      <c r="J84" s="27">
        <v>3.353885E-3</v>
      </c>
      <c r="K84" s="28">
        <f t="shared" si="5"/>
        <v>5.7483138854022474E-2</v>
      </c>
      <c r="L84" s="29">
        <f t="shared" si="7"/>
        <v>0</v>
      </c>
    </row>
    <row r="85" spans="2:12" x14ac:dyDescent="0.25">
      <c r="B85" s="43" t="s">
        <v>330</v>
      </c>
      <c r="C85" s="30">
        <v>8257.7974363080375</v>
      </c>
      <c r="D85" s="31">
        <v>1.0787072</v>
      </c>
      <c r="E85" s="22">
        <v>8257.7973999999995</v>
      </c>
      <c r="F85" s="23">
        <v>0.49856017000000002</v>
      </c>
      <c r="G85" s="24">
        <f t="shared" si="4"/>
        <v>-4.3968186812447596E-9</v>
      </c>
      <c r="H85" s="25">
        <f t="shared" si="6"/>
        <v>1</v>
      </c>
      <c r="I85" s="26">
        <v>8662.2782000000007</v>
      </c>
      <c r="J85" s="27">
        <v>4.2104109999999998E-3</v>
      </c>
      <c r="K85" s="28">
        <f t="shared" si="5"/>
        <v>4.8981676628871353E-2</v>
      </c>
      <c r="L85" s="29">
        <f t="shared" si="7"/>
        <v>0</v>
      </c>
    </row>
    <row r="86" spans="2:12" x14ac:dyDescent="0.25">
      <c r="B86" s="43" t="s">
        <v>331</v>
      </c>
      <c r="C86" s="30">
        <v>10650.696819239942</v>
      </c>
      <c r="D86" s="31">
        <v>0.62156029999999995</v>
      </c>
      <c r="E86" s="22">
        <v>10650.6968</v>
      </c>
      <c r="F86" s="23">
        <v>0.39232322400000003</v>
      </c>
      <c r="G86" s="24">
        <f t="shared" si="4"/>
        <v>-1.8064491342657981E-9</v>
      </c>
      <c r="H86" s="25">
        <f t="shared" si="6"/>
        <v>1</v>
      </c>
      <c r="I86" s="26">
        <v>10650.6968</v>
      </c>
      <c r="J86" s="27">
        <v>4.1083589999999998E-3</v>
      </c>
      <c r="K86" s="28">
        <f t="shared" si="5"/>
        <v>-1.8064491342657981E-9</v>
      </c>
      <c r="L86" s="29">
        <f t="shared" si="7"/>
        <v>1</v>
      </c>
    </row>
    <row r="87" spans="2:12" x14ac:dyDescent="0.25">
      <c r="B87" s="43" t="s">
        <v>332</v>
      </c>
      <c r="C87" s="30">
        <v>9300.412795194623</v>
      </c>
      <c r="D87" s="31">
        <v>0.62980190000000003</v>
      </c>
      <c r="E87" s="22">
        <v>9300.4128000000001</v>
      </c>
      <c r="F87" s="23">
        <v>0.45549034399999999</v>
      </c>
      <c r="G87" s="24">
        <f t="shared" si="4"/>
        <v>5.1668428146972682E-10</v>
      </c>
      <c r="H87" s="25">
        <f t="shared" si="6"/>
        <v>1</v>
      </c>
      <c r="I87" s="26">
        <v>9902.3186000000005</v>
      </c>
      <c r="J87" s="27">
        <v>3.815466E-3</v>
      </c>
      <c r="K87" s="28">
        <f t="shared" si="5"/>
        <v>6.4718181661396021E-2</v>
      </c>
      <c r="L87" s="29">
        <f t="shared" si="7"/>
        <v>0</v>
      </c>
    </row>
    <row r="88" spans="2:12" x14ac:dyDescent="0.25">
      <c r="B88" s="43" t="s">
        <v>333</v>
      </c>
      <c r="C88" s="30">
        <v>6797.6236531373734</v>
      </c>
      <c r="D88" s="31">
        <v>0.62160899999999997</v>
      </c>
      <c r="E88" s="22">
        <v>6797.6237000000001</v>
      </c>
      <c r="F88" s="23">
        <v>0.43111937700000003</v>
      </c>
      <c r="G88" s="24">
        <f t="shared" si="4"/>
        <v>6.8939719412690703E-9</v>
      </c>
      <c r="H88" s="25">
        <f t="shared" si="6"/>
        <v>1</v>
      </c>
      <c r="I88" s="26">
        <v>6797.6237000000001</v>
      </c>
      <c r="J88" s="27">
        <v>3.9668109999999998E-3</v>
      </c>
      <c r="K88" s="28">
        <f t="shared" si="5"/>
        <v>6.8939719412690703E-9</v>
      </c>
      <c r="L88" s="29">
        <f t="shared" si="7"/>
        <v>1</v>
      </c>
    </row>
    <row r="89" spans="2:12" x14ac:dyDescent="0.25">
      <c r="B89" s="43" t="s">
        <v>334</v>
      </c>
      <c r="C89" s="30">
        <v>7750.182228248801</v>
      </c>
      <c r="D89" s="31">
        <v>0.93015479999999995</v>
      </c>
      <c r="E89" s="22">
        <v>7750.1822000000002</v>
      </c>
      <c r="F89" s="23">
        <v>0.52992600599999995</v>
      </c>
      <c r="G89" s="24">
        <f t="shared" si="4"/>
        <v>-3.6449208564686133E-9</v>
      </c>
      <c r="H89" s="25">
        <f t="shared" si="6"/>
        <v>1</v>
      </c>
      <c r="I89" s="26">
        <v>8002.6895999999997</v>
      </c>
      <c r="J89" s="27">
        <v>3.9723520000000002E-3</v>
      </c>
      <c r="K89" s="28">
        <f t="shared" si="5"/>
        <v>3.2580830271426296E-2</v>
      </c>
      <c r="L89" s="29">
        <f t="shared" si="7"/>
        <v>0</v>
      </c>
    </row>
    <row r="90" spans="2:12" x14ac:dyDescent="0.25">
      <c r="B90" s="43" t="s">
        <v>335</v>
      </c>
      <c r="C90" s="30">
        <v>13008.9930840615</v>
      </c>
      <c r="D90" s="31">
        <v>3.0284149</v>
      </c>
      <c r="E90" s="22">
        <v>13008.9931</v>
      </c>
      <c r="F90" s="23">
        <v>0.46914329700000001</v>
      </c>
      <c r="G90" s="24">
        <f t="shared" si="4"/>
        <v>1.2251908987020451E-9</v>
      </c>
      <c r="H90" s="25">
        <f t="shared" si="6"/>
        <v>1</v>
      </c>
      <c r="I90" s="26">
        <v>13980.1513</v>
      </c>
      <c r="J90" s="27">
        <v>3.4450779999999999E-3</v>
      </c>
      <c r="K90" s="28">
        <f t="shared" si="5"/>
        <v>7.4652835132055992E-2</v>
      </c>
      <c r="L90" s="29">
        <f t="shared" si="7"/>
        <v>0</v>
      </c>
    </row>
    <row r="91" spans="2:12" x14ac:dyDescent="0.25">
      <c r="B91" s="43" t="s">
        <v>336</v>
      </c>
      <c r="C91" s="30">
        <v>8511.0423130106519</v>
      </c>
      <c r="D91" s="31">
        <v>0.5496451</v>
      </c>
      <c r="E91" s="22">
        <v>8511.0422999999992</v>
      </c>
      <c r="F91" s="23">
        <v>0.47761643300000001</v>
      </c>
      <c r="G91" s="24">
        <f t="shared" si="4"/>
        <v>-1.5286791307621714E-9</v>
      </c>
      <c r="H91" s="25">
        <f t="shared" si="6"/>
        <v>1</v>
      </c>
      <c r="I91" s="26">
        <v>10777.1183</v>
      </c>
      <c r="J91" s="27">
        <v>3.3238289999999999E-3</v>
      </c>
      <c r="K91" s="28">
        <f t="shared" si="5"/>
        <v>0.26625128904896234</v>
      </c>
      <c r="L91" s="29">
        <f t="shared" si="7"/>
        <v>0</v>
      </c>
    </row>
    <row r="92" spans="2:12" x14ac:dyDescent="0.25">
      <c r="B92" s="43" t="s">
        <v>337</v>
      </c>
      <c r="C92" s="30">
        <v>12169.505107036037</v>
      </c>
      <c r="D92" s="31">
        <v>0.75294139999999998</v>
      </c>
      <c r="E92" s="22">
        <v>12169.5051</v>
      </c>
      <c r="F92" s="23">
        <v>0.42777771399999998</v>
      </c>
      <c r="G92" s="24">
        <f t="shared" si="4"/>
        <v>-5.7816948905888641E-10</v>
      </c>
      <c r="H92" s="25">
        <f t="shared" si="6"/>
        <v>1</v>
      </c>
      <c r="I92" s="26">
        <v>12169.5051</v>
      </c>
      <c r="J92" s="27">
        <v>3.474694E-3</v>
      </c>
      <c r="K92" s="28">
        <f t="shared" si="5"/>
        <v>-5.7816948905888641E-10</v>
      </c>
      <c r="L92" s="29">
        <f t="shared" si="7"/>
        <v>1</v>
      </c>
    </row>
    <row r="93" spans="2:12" x14ac:dyDescent="0.25">
      <c r="B93" s="43" t="s">
        <v>338</v>
      </c>
      <c r="C93" s="30">
        <v>13771.960375440049</v>
      </c>
      <c r="D93" s="31">
        <v>2.0041026</v>
      </c>
      <c r="E93" s="22">
        <v>13771.9604</v>
      </c>
      <c r="F93" s="23">
        <v>0.46181505299999998</v>
      </c>
      <c r="G93" s="24">
        <f t="shared" si="4"/>
        <v>1.7833300852890173E-9</v>
      </c>
      <c r="H93" s="25">
        <f t="shared" si="6"/>
        <v>1</v>
      </c>
      <c r="I93" s="26">
        <v>14420.800800000001</v>
      </c>
      <c r="J93" s="27">
        <v>4.0482440000000003E-3</v>
      </c>
      <c r="K93" s="28">
        <f t="shared" si="5"/>
        <v>4.7113149244681886E-2</v>
      </c>
      <c r="L93" s="29">
        <f t="shared" si="7"/>
        <v>0</v>
      </c>
    </row>
    <row r="94" spans="2:12" x14ac:dyDescent="0.25">
      <c r="B94" s="43" t="s">
        <v>339</v>
      </c>
      <c r="C94" s="30">
        <v>3698.3797122956548</v>
      </c>
      <c r="D94" s="31">
        <v>0.74176109999999995</v>
      </c>
      <c r="E94" s="22">
        <v>3698.3797</v>
      </c>
      <c r="F94" s="23">
        <v>0.71719784799999997</v>
      </c>
      <c r="G94" s="24">
        <f t="shared" si="4"/>
        <v>-3.3246058614528525E-9</v>
      </c>
      <c r="H94" s="25">
        <f t="shared" si="6"/>
        <v>1</v>
      </c>
      <c r="I94" s="26">
        <v>3994.4085</v>
      </c>
      <c r="J94" s="27">
        <v>5.2611619999999998E-3</v>
      </c>
      <c r="K94" s="28">
        <f t="shared" si="5"/>
        <v>8.0042832465299904E-2</v>
      </c>
      <c r="L94" s="29">
        <f t="shared" si="7"/>
        <v>0</v>
      </c>
    </row>
    <row r="95" spans="2:12" x14ac:dyDescent="0.25">
      <c r="B95" s="43" t="s">
        <v>340</v>
      </c>
      <c r="C95" s="30">
        <v>6081.6133077335307</v>
      </c>
      <c r="D95" s="31">
        <v>1.8679300999999999</v>
      </c>
      <c r="E95" s="22">
        <v>6081.6133</v>
      </c>
      <c r="F95" s="23">
        <v>0.70321361400000004</v>
      </c>
      <c r="G95" s="24">
        <f t="shared" si="4"/>
        <v>-1.2716248754708144E-9</v>
      </c>
      <c r="H95" s="25">
        <f t="shared" si="6"/>
        <v>1</v>
      </c>
      <c r="I95" s="26">
        <v>6105.8285999999998</v>
      </c>
      <c r="J95" s="27">
        <v>5.3166070000000001E-3</v>
      </c>
      <c r="K95" s="28">
        <f t="shared" si="5"/>
        <v>3.9817217966943586E-3</v>
      </c>
      <c r="L95" s="29">
        <f t="shared" si="7"/>
        <v>0</v>
      </c>
    </row>
    <row r="96" spans="2:12" x14ac:dyDescent="0.25">
      <c r="B96" s="43" t="s">
        <v>341</v>
      </c>
      <c r="C96" s="30">
        <v>7979.8157676018991</v>
      </c>
      <c r="D96" s="31">
        <v>2.7551625999999998</v>
      </c>
      <c r="E96" s="22">
        <v>7979.8158000000003</v>
      </c>
      <c r="F96" s="23">
        <v>0.79884797100000005</v>
      </c>
      <c r="G96" s="24">
        <f t="shared" si="4"/>
        <v>4.0600061649443329E-9</v>
      </c>
      <c r="H96" s="25">
        <f t="shared" si="6"/>
        <v>1</v>
      </c>
      <c r="I96" s="26">
        <v>8641.7427000000007</v>
      </c>
      <c r="J96" s="27">
        <v>4.8871970000000002E-3</v>
      </c>
      <c r="K96" s="28">
        <f t="shared" si="5"/>
        <v>8.2950152193428953E-2</v>
      </c>
      <c r="L96" s="29">
        <f t="shared" si="7"/>
        <v>0</v>
      </c>
    </row>
    <row r="97" spans="2:12" x14ac:dyDescent="0.25">
      <c r="B97" s="43" t="s">
        <v>342</v>
      </c>
      <c r="C97" s="30">
        <v>6817.8547540898189</v>
      </c>
      <c r="D97" s="31">
        <v>0.89068729999999996</v>
      </c>
      <c r="E97" s="22">
        <v>6817.8548000000001</v>
      </c>
      <c r="F97" s="23">
        <v>0.68806572200000005</v>
      </c>
      <c r="G97" s="24">
        <f t="shared" si="4"/>
        <v>6.733816251428906E-9</v>
      </c>
      <c r="H97" s="25">
        <f t="shared" si="6"/>
        <v>1</v>
      </c>
      <c r="I97" s="26">
        <v>6817.8548000000001</v>
      </c>
      <c r="J97" s="27">
        <v>5.3914770000000004E-3</v>
      </c>
      <c r="K97" s="28">
        <f t="shared" si="5"/>
        <v>6.733816251428906E-9</v>
      </c>
      <c r="L97" s="29">
        <f t="shared" si="7"/>
        <v>1</v>
      </c>
    </row>
    <row r="98" spans="2:12" x14ac:dyDescent="0.25">
      <c r="B98" s="43" t="s">
        <v>343</v>
      </c>
      <c r="C98" s="30">
        <v>5181.0783751372464</v>
      </c>
      <c r="D98" s="31">
        <v>0.62834639999999997</v>
      </c>
      <c r="E98" s="22">
        <v>5181.0784000000003</v>
      </c>
      <c r="F98" s="23">
        <v>0.64224319100000005</v>
      </c>
      <c r="G98" s="24">
        <f t="shared" si="4"/>
        <v>4.7987604296386707E-9</v>
      </c>
      <c r="H98" s="25">
        <f t="shared" si="6"/>
        <v>1</v>
      </c>
      <c r="I98" s="26">
        <v>6156.7461000000003</v>
      </c>
      <c r="J98" s="27">
        <v>4.7276460000000003E-3</v>
      </c>
      <c r="K98" s="28">
        <f t="shared" si="5"/>
        <v>0.18831363940463619</v>
      </c>
      <c r="L98" s="29">
        <f t="shared" si="7"/>
        <v>0</v>
      </c>
    </row>
    <row r="99" spans="2:12" x14ac:dyDescent="0.25">
      <c r="B99" s="43" t="s">
        <v>344</v>
      </c>
      <c r="C99" s="30">
        <v>10697.371543567542</v>
      </c>
      <c r="D99" s="31">
        <v>1.7123820000000001</v>
      </c>
      <c r="E99" s="22">
        <v>10697.371499999999</v>
      </c>
      <c r="F99" s="23">
        <v>0.87097031400000002</v>
      </c>
      <c r="G99" s="24">
        <f t="shared" si="4"/>
        <v>-4.0727334477898269E-9</v>
      </c>
      <c r="H99" s="25">
        <f t="shared" si="6"/>
        <v>1</v>
      </c>
      <c r="I99" s="26">
        <v>12463.3658</v>
      </c>
      <c r="J99" s="27">
        <v>4.9174049999999997E-3</v>
      </c>
      <c r="K99" s="28">
        <f t="shared" si="5"/>
        <v>0.1650867457711489</v>
      </c>
      <c r="L99" s="29">
        <f t="shared" si="7"/>
        <v>0</v>
      </c>
    </row>
    <row r="100" spans="2:12" x14ac:dyDescent="0.25">
      <c r="B100" s="43" t="s">
        <v>345</v>
      </c>
      <c r="C100" s="30">
        <v>8324.8811405404995</v>
      </c>
      <c r="D100" s="31">
        <v>1.5108461</v>
      </c>
      <c r="E100" s="22">
        <v>8324.8811000000005</v>
      </c>
      <c r="F100" s="23">
        <v>0.754106163</v>
      </c>
      <c r="G100" s="24">
        <f t="shared" si="4"/>
        <v>-4.8697991326781527E-9</v>
      </c>
      <c r="H100" s="25">
        <f t="shared" si="6"/>
        <v>1</v>
      </c>
      <c r="I100" s="26">
        <v>9702.9187999999995</v>
      </c>
      <c r="J100" s="27">
        <v>5.211439E-3</v>
      </c>
      <c r="K100" s="28">
        <f t="shared" si="5"/>
        <v>0.16553241255886925</v>
      </c>
      <c r="L100" s="29">
        <f t="shared" si="7"/>
        <v>0</v>
      </c>
    </row>
    <row r="101" spans="2:12" x14ac:dyDescent="0.25">
      <c r="B101" s="43" t="s">
        <v>346</v>
      </c>
      <c r="C101" s="30">
        <v>8279.9052573496501</v>
      </c>
      <c r="D101" s="31">
        <v>0.68138489999999996</v>
      </c>
      <c r="E101" s="22">
        <v>8279.9053000000004</v>
      </c>
      <c r="F101" s="23">
        <v>0.78296945500000004</v>
      </c>
      <c r="G101" s="24">
        <f t="shared" si="4"/>
        <v>5.1510674214702322E-9</v>
      </c>
      <c r="H101" s="25">
        <f t="shared" si="6"/>
        <v>1</v>
      </c>
      <c r="I101" s="26">
        <v>9116.5452000000005</v>
      </c>
      <c r="J101" s="27">
        <v>4.9295570000000002E-3</v>
      </c>
      <c r="K101" s="28">
        <f t="shared" si="5"/>
        <v>0.10104462752248375</v>
      </c>
      <c r="L101" s="29">
        <f t="shared" si="7"/>
        <v>0</v>
      </c>
    </row>
    <row r="102" spans="2:12" x14ac:dyDescent="0.25">
      <c r="B102" s="43" t="s">
        <v>347</v>
      </c>
      <c r="C102" s="30">
        <v>10889.208487927486</v>
      </c>
      <c r="D102" s="31">
        <v>2.2970763999999999</v>
      </c>
      <c r="E102" s="22">
        <v>10889.208500000001</v>
      </c>
      <c r="F102" s="23">
        <v>0.74563533999999998</v>
      </c>
      <c r="G102" s="24">
        <f t="shared" si="4"/>
        <v>1.1086677650085426E-9</v>
      </c>
      <c r="H102" s="25">
        <f t="shared" si="6"/>
        <v>1</v>
      </c>
      <c r="I102" s="26">
        <v>11110.9593</v>
      </c>
      <c r="J102" s="27">
        <v>4.8335349999999999E-3</v>
      </c>
      <c r="K102" s="28">
        <f t="shared" si="5"/>
        <v>2.0364272786067252E-2</v>
      </c>
      <c r="L102" s="29">
        <f t="shared" si="7"/>
        <v>0</v>
      </c>
    </row>
    <row r="103" spans="2:12" x14ac:dyDescent="0.25">
      <c r="B103" s="43" t="s">
        <v>348</v>
      </c>
      <c r="C103" s="30">
        <v>7276.6563721093444</v>
      </c>
      <c r="D103" s="31">
        <v>1.3728313000000001</v>
      </c>
      <c r="E103" s="22">
        <v>7276.6563999999998</v>
      </c>
      <c r="F103" s="23">
        <v>0.73955178499999996</v>
      </c>
      <c r="G103" s="24">
        <f t="shared" si="4"/>
        <v>3.8328944020141903E-9</v>
      </c>
      <c r="H103" s="25">
        <f t="shared" si="6"/>
        <v>1</v>
      </c>
      <c r="I103" s="26">
        <v>8624.0030999999999</v>
      </c>
      <c r="J103" s="27">
        <v>4.9911740000000001E-3</v>
      </c>
      <c r="K103" s="28">
        <f t="shared" si="5"/>
        <v>0.18516014210247625</v>
      </c>
      <c r="L103" s="29">
        <f t="shared" si="7"/>
        <v>0</v>
      </c>
    </row>
    <row r="104" spans="2:12" x14ac:dyDescent="0.25">
      <c r="B104" s="43" t="s">
        <v>349</v>
      </c>
      <c r="C104" s="30">
        <v>7651.8309501950398</v>
      </c>
      <c r="D104" s="31">
        <v>0.99984479999999998</v>
      </c>
      <c r="E104" s="22">
        <v>7651.8310000000001</v>
      </c>
      <c r="F104" s="23">
        <v>1.155661209</v>
      </c>
      <c r="G104" s="24">
        <f t="shared" si="4"/>
        <v>6.508894492149381E-9</v>
      </c>
      <c r="H104" s="25">
        <f t="shared" si="6"/>
        <v>1</v>
      </c>
      <c r="I104" s="26">
        <v>8629.9038</v>
      </c>
      <c r="J104" s="27">
        <v>6.2252599999999998E-3</v>
      </c>
      <c r="K104" s="28">
        <f t="shared" si="5"/>
        <v>0.12782206718511338</v>
      </c>
      <c r="L104" s="29">
        <f t="shared" si="7"/>
        <v>0</v>
      </c>
    </row>
    <row r="105" spans="2:12" x14ac:dyDescent="0.25">
      <c r="B105" s="43" t="s">
        <v>350</v>
      </c>
      <c r="C105" s="30">
        <v>5581.542952349334</v>
      </c>
      <c r="D105" s="31">
        <v>0.78747849999999997</v>
      </c>
      <c r="E105" s="22">
        <v>5581.5429999999997</v>
      </c>
      <c r="F105" s="23">
        <v>0.99721436699999999</v>
      </c>
      <c r="G105" s="24">
        <f t="shared" si="4"/>
        <v>8.5371851653113357E-9</v>
      </c>
      <c r="H105" s="25">
        <f t="shared" si="6"/>
        <v>1</v>
      </c>
      <c r="I105" s="26">
        <v>5672.6018000000004</v>
      </c>
      <c r="J105" s="27">
        <v>1.9640129999999999E-2</v>
      </c>
      <c r="K105" s="28">
        <f t="shared" si="5"/>
        <v>1.6314278762709997E-2</v>
      </c>
      <c r="L105" s="29">
        <f t="shared" si="7"/>
        <v>0</v>
      </c>
    </row>
    <row r="106" spans="2:12" x14ac:dyDescent="0.25">
      <c r="B106" s="43" t="s">
        <v>351</v>
      </c>
      <c r="C106" s="30">
        <v>4890.7200933028143</v>
      </c>
      <c r="D106" s="31">
        <v>1.3975518</v>
      </c>
      <c r="E106" s="22">
        <v>4890.7200999999995</v>
      </c>
      <c r="F106" s="23">
        <v>1.068705053</v>
      </c>
      <c r="G106" s="24">
        <f t="shared" si="4"/>
        <v>1.3693658748680363E-9</v>
      </c>
      <c r="H106" s="25">
        <f t="shared" si="6"/>
        <v>1</v>
      </c>
      <c r="I106" s="26">
        <v>5745.7978000000003</v>
      </c>
      <c r="J106" s="27">
        <v>6.1275269999999998E-3</v>
      </c>
      <c r="K106" s="28">
        <f t="shared" si="5"/>
        <v>0.1748367705336685</v>
      </c>
      <c r="L106" s="29">
        <f t="shared" si="7"/>
        <v>0</v>
      </c>
    </row>
    <row r="107" spans="2:12" x14ac:dyDescent="0.25">
      <c r="B107" s="43" t="s">
        <v>352</v>
      </c>
      <c r="C107" s="30">
        <v>6051.7926637486762</v>
      </c>
      <c r="D107" s="31">
        <v>0.71227600000000002</v>
      </c>
      <c r="E107" s="22">
        <v>6051.7927</v>
      </c>
      <c r="F107" s="23">
        <v>1.2219622800000001</v>
      </c>
      <c r="G107" s="24">
        <f t="shared" si="4"/>
        <v>5.9901794026145412E-9</v>
      </c>
      <c r="H107" s="25">
        <f t="shared" si="6"/>
        <v>1</v>
      </c>
      <c r="I107" s="26">
        <v>7259.8127000000004</v>
      </c>
      <c r="J107" s="27">
        <v>7.1300479999999999E-3</v>
      </c>
      <c r="K107" s="28">
        <f t="shared" si="5"/>
        <v>0.19961358615069233</v>
      </c>
      <c r="L107" s="29">
        <f t="shared" si="7"/>
        <v>0</v>
      </c>
    </row>
    <row r="108" spans="2:12" x14ac:dyDescent="0.25">
      <c r="B108" s="43" t="s">
        <v>353</v>
      </c>
      <c r="C108" s="30">
        <v>6385.3925156277492</v>
      </c>
      <c r="D108" s="31">
        <v>0.60856410000000005</v>
      </c>
      <c r="E108" s="22">
        <v>6385.3924999999999</v>
      </c>
      <c r="F108" s="23">
        <v>1.028199458</v>
      </c>
      <c r="G108" s="24">
        <f t="shared" si="4"/>
        <v>-2.4474218612072381E-9</v>
      </c>
      <c r="H108" s="25">
        <f t="shared" si="6"/>
        <v>1</v>
      </c>
      <c r="I108" s="26">
        <v>6740.3675000000003</v>
      </c>
      <c r="J108" s="27">
        <v>5.6628410000000001E-3</v>
      </c>
      <c r="K108" s="28">
        <f t="shared" si="5"/>
        <v>5.5591724941493822E-2</v>
      </c>
      <c r="L108" s="29">
        <f t="shared" si="7"/>
        <v>0</v>
      </c>
    </row>
    <row r="109" spans="2:12" x14ac:dyDescent="0.25">
      <c r="B109" s="43" t="s">
        <v>354</v>
      </c>
      <c r="C109" s="30">
        <v>5121.1752544020992</v>
      </c>
      <c r="D109" s="31">
        <v>1.3441590000000001</v>
      </c>
      <c r="E109" s="22">
        <v>5121.1752999999999</v>
      </c>
      <c r="F109" s="23">
        <v>1.041331842</v>
      </c>
      <c r="G109" s="24">
        <f t="shared" si="4"/>
        <v>8.9037961825177754E-9</v>
      </c>
      <c r="H109" s="25">
        <f t="shared" si="6"/>
        <v>1</v>
      </c>
      <c r="I109" s="26">
        <v>5838.4691000000003</v>
      </c>
      <c r="J109" s="27">
        <v>6.1583949999999997E-3</v>
      </c>
      <c r="K109" s="28">
        <f t="shared" si="5"/>
        <v>0.14006430359541477</v>
      </c>
      <c r="L109" s="29">
        <f t="shared" si="7"/>
        <v>0</v>
      </c>
    </row>
    <row r="110" spans="2:12" x14ac:dyDescent="0.25">
      <c r="B110" s="43" t="s">
        <v>355</v>
      </c>
      <c r="C110" s="30">
        <v>7553.1877810647038</v>
      </c>
      <c r="D110" s="31">
        <v>0.69577880000000003</v>
      </c>
      <c r="E110" s="22">
        <v>7553.1877999999997</v>
      </c>
      <c r="F110" s="23">
        <v>0.98919036400000004</v>
      </c>
      <c r="G110" s="24">
        <f t="shared" si="4"/>
        <v>2.506927728133231E-9</v>
      </c>
      <c r="H110" s="25">
        <f t="shared" si="6"/>
        <v>1</v>
      </c>
      <c r="I110" s="26">
        <v>8640.8122999999996</v>
      </c>
      <c r="J110" s="27">
        <v>5.8366370000000004E-3</v>
      </c>
      <c r="K110" s="28">
        <f t="shared" si="5"/>
        <v>0.14399542954060959</v>
      </c>
      <c r="L110" s="29">
        <f t="shared" si="7"/>
        <v>0</v>
      </c>
    </row>
    <row r="111" spans="2:12" x14ac:dyDescent="0.25">
      <c r="B111" s="43" t="s">
        <v>356</v>
      </c>
      <c r="C111" s="30">
        <v>6573.2825800018254</v>
      </c>
      <c r="D111" s="31">
        <v>1.4149400999999999</v>
      </c>
      <c r="E111" s="22">
        <v>6573.2825999999995</v>
      </c>
      <c r="F111" s="23">
        <v>1.0623006150000001</v>
      </c>
      <c r="G111" s="24">
        <f t="shared" si="4"/>
        <v>3.0423420711795248E-9</v>
      </c>
      <c r="H111" s="25">
        <f t="shared" si="6"/>
        <v>1</v>
      </c>
      <c r="I111" s="26">
        <v>7013.1251000000002</v>
      </c>
      <c r="J111" s="27">
        <v>6.2411899999999998E-3</v>
      </c>
      <c r="K111" s="28">
        <f t="shared" si="5"/>
        <v>6.6913678918403149E-2</v>
      </c>
      <c r="L111" s="29">
        <f t="shared" si="7"/>
        <v>0</v>
      </c>
    </row>
    <row r="112" spans="2:12" x14ac:dyDescent="0.25">
      <c r="B112" s="43" t="s">
        <v>357</v>
      </c>
      <c r="C112" s="30">
        <v>7910.2082109347948</v>
      </c>
      <c r="D112" s="31">
        <v>1.0449189000000001</v>
      </c>
      <c r="E112" s="22">
        <v>7910.2082</v>
      </c>
      <c r="F112" s="23">
        <v>1.069766859</v>
      </c>
      <c r="G112" s="24">
        <f t="shared" si="4"/>
        <v>-1.3823649746222509E-9</v>
      </c>
      <c r="H112" s="25">
        <f t="shared" si="6"/>
        <v>1</v>
      </c>
      <c r="I112" s="26">
        <v>9257.4881999999998</v>
      </c>
      <c r="J112" s="27">
        <v>6.0268559999999997E-3</v>
      </c>
      <c r="K112" s="28">
        <f t="shared" si="5"/>
        <v>0.1703216847317334</v>
      </c>
      <c r="L112" s="29">
        <f t="shared" si="7"/>
        <v>0</v>
      </c>
    </row>
    <row r="113" spans="2:12" x14ac:dyDescent="0.25">
      <c r="B113" s="43" t="s">
        <v>358</v>
      </c>
      <c r="C113" s="30">
        <v>8127.7229090966312</v>
      </c>
      <c r="D113" s="31">
        <v>0.89994620000000003</v>
      </c>
      <c r="E113" s="22">
        <v>8127.7228999999998</v>
      </c>
      <c r="F113" s="23">
        <v>1.067993596</v>
      </c>
      <c r="G113" s="24">
        <f t="shared" si="4"/>
        <v>-1.1192103254081069E-9</v>
      </c>
      <c r="H113" s="25">
        <f t="shared" si="6"/>
        <v>1</v>
      </c>
      <c r="I113" s="26">
        <v>8560.2479999999996</v>
      </c>
      <c r="J113" s="27">
        <v>5.9589889999999996E-3</v>
      </c>
      <c r="K113" s="28">
        <f t="shared" si="5"/>
        <v>5.3216023201194756E-2</v>
      </c>
      <c r="L113" s="29">
        <f t="shared" si="7"/>
        <v>0</v>
      </c>
    </row>
    <row r="114" spans="2:12" x14ac:dyDescent="0.25">
      <c r="B114" s="43" t="s">
        <v>359</v>
      </c>
      <c r="C114" s="30">
        <v>6295.1102913154491</v>
      </c>
      <c r="D114" s="31">
        <v>1.9707231999999999</v>
      </c>
      <c r="E114" s="22">
        <v>6295.1103000000003</v>
      </c>
      <c r="F114" s="23">
        <v>1.3437199289999999</v>
      </c>
      <c r="G114" s="24">
        <f t="shared" si="4"/>
        <v>1.3795709326897304E-9</v>
      </c>
      <c r="H114" s="25">
        <f t="shared" si="6"/>
        <v>1</v>
      </c>
      <c r="I114" s="26">
        <v>6410.8968000000004</v>
      </c>
      <c r="J114" s="27">
        <v>7.2473679999999997E-3</v>
      </c>
      <c r="K114" s="28">
        <f t="shared" si="5"/>
        <v>1.839308659044259E-2</v>
      </c>
      <c r="L114" s="29">
        <f t="shared" si="7"/>
        <v>0</v>
      </c>
    </row>
    <row r="115" spans="2:12" x14ac:dyDescent="0.25">
      <c r="B115" s="43" t="s">
        <v>360</v>
      </c>
      <c r="C115" s="30">
        <v>3765.8246408258683</v>
      </c>
      <c r="D115" s="31">
        <v>1.3008793000000001</v>
      </c>
      <c r="E115" s="22">
        <v>3765.8245999999999</v>
      </c>
      <c r="F115" s="23">
        <v>1.4177737939999999</v>
      </c>
      <c r="G115" s="24">
        <f t="shared" si="4"/>
        <v>-1.0841149622142431E-8</v>
      </c>
      <c r="H115" s="25">
        <f t="shared" si="6"/>
        <v>1</v>
      </c>
      <c r="I115" s="26">
        <v>4664.4784</v>
      </c>
      <c r="J115" s="27">
        <v>7.5130400000000003E-3</v>
      </c>
      <c r="K115" s="28">
        <f t="shared" si="5"/>
        <v>0.23863398986551096</v>
      </c>
      <c r="L115" s="29">
        <f t="shared" si="7"/>
        <v>0</v>
      </c>
    </row>
    <row r="116" spans="2:12" x14ac:dyDescent="0.25">
      <c r="B116" s="43" t="s">
        <v>361</v>
      </c>
      <c r="C116" s="30">
        <v>6718.5429330464513</v>
      </c>
      <c r="D116" s="31">
        <v>0.80346689999999998</v>
      </c>
      <c r="E116" s="22">
        <v>6718.5429000000004</v>
      </c>
      <c r="F116" s="23">
        <v>1.534345777</v>
      </c>
      <c r="G116" s="24">
        <f t="shared" si="4"/>
        <v>-4.9186931169408499E-9</v>
      </c>
      <c r="H116" s="25">
        <f t="shared" si="6"/>
        <v>1</v>
      </c>
      <c r="I116" s="26">
        <v>6979.7148999999999</v>
      </c>
      <c r="J116" s="27">
        <v>8.3830599999999995E-3</v>
      </c>
      <c r="K116" s="28">
        <f t="shared" si="5"/>
        <v>3.8873304756143465E-2</v>
      </c>
      <c r="L116" s="29">
        <f t="shared" si="7"/>
        <v>0</v>
      </c>
    </row>
    <row r="117" spans="2:12" x14ac:dyDescent="0.25">
      <c r="B117" s="43" t="s">
        <v>362</v>
      </c>
      <c r="C117" s="30">
        <v>4658.7386253241393</v>
      </c>
      <c r="D117" s="31">
        <v>0.68635009999999996</v>
      </c>
      <c r="E117" s="22">
        <v>4658.7385999999997</v>
      </c>
      <c r="F117" s="23">
        <v>1.5022732919999999</v>
      </c>
      <c r="G117" s="24">
        <f t="shared" si="4"/>
        <v>-5.4358361090536553E-9</v>
      </c>
      <c r="H117" s="25">
        <f t="shared" si="6"/>
        <v>1</v>
      </c>
      <c r="I117" s="26">
        <v>6537.0960999999998</v>
      </c>
      <c r="J117" s="27">
        <v>2.1095717E-2</v>
      </c>
      <c r="K117" s="28">
        <f t="shared" si="5"/>
        <v>0.40319013916458357</v>
      </c>
      <c r="L117" s="29">
        <f t="shared" si="7"/>
        <v>0</v>
      </c>
    </row>
    <row r="118" spans="2:12" x14ac:dyDescent="0.25">
      <c r="B118" s="43" t="s">
        <v>363</v>
      </c>
      <c r="C118" s="30">
        <v>4504.2036232725159</v>
      </c>
      <c r="D118" s="31">
        <v>0.60698090000000005</v>
      </c>
      <c r="E118" s="22">
        <v>4504.2035999999998</v>
      </c>
      <c r="F118" s="23">
        <v>1.4629648479999999</v>
      </c>
      <c r="G118" s="24">
        <f t="shared" si="4"/>
        <v>-5.1668436847726751E-9</v>
      </c>
      <c r="H118" s="25">
        <f t="shared" si="6"/>
        <v>1</v>
      </c>
      <c r="I118" s="26">
        <v>5512.5915000000005</v>
      </c>
      <c r="J118" s="27">
        <v>7.4386890000000001E-3</v>
      </c>
      <c r="K118" s="28">
        <f t="shared" si="5"/>
        <v>0.22387706264372731</v>
      </c>
      <c r="L118" s="29">
        <f t="shared" si="7"/>
        <v>0</v>
      </c>
    </row>
    <row r="119" spans="2:12" x14ac:dyDescent="0.25">
      <c r="B119" s="43" t="s">
        <v>364</v>
      </c>
      <c r="C119" s="30">
        <v>5005.5662380215845</v>
      </c>
      <c r="D119" s="31">
        <v>0.60835669999999997</v>
      </c>
      <c r="E119" s="22">
        <v>5005.5662000000002</v>
      </c>
      <c r="F119" s="23">
        <v>1.2508755359999999</v>
      </c>
      <c r="G119" s="24">
        <f t="shared" si="4"/>
        <v>-7.5958607781251021E-9</v>
      </c>
      <c r="H119" s="25">
        <f t="shared" si="6"/>
        <v>1</v>
      </c>
      <c r="I119" s="26">
        <v>5005.5662000000002</v>
      </c>
      <c r="J119" s="27">
        <v>7.3087239999999999E-3</v>
      </c>
      <c r="K119" s="28">
        <f t="shared" si="5"/>
        <v>-7.5958607781251021E-9</v>
      </c>
      <c r="L119" s="29">
        <f t="shared" si="7"/>
        <v>1</v>
      </c>
    </row>
    <row r="120" spans="2:12" x14ac:dyDescent="0.25">
      <c r="B120" s="43" t="s">
        <v>365</v>
      </c>
      <c r="C120" s="30">
        <v>4281.0517742608808</v>
      </c>
      <c r="D120" s="31">
        <v>0.57118539999999995</v>
      </c>
      <c r="E120" s="22">
        <v>4281.0518000000002</v>
      </c>
      <c r="F120" s="23">
        <v>1.3586290729999999</v>
      </c>
      <c r="G120" s="24">
        <f t="shared" si="4"/>
        <v>6.0123354480278903E-9</v>
      </c>
      <c r="H120" s="25">
        <f t="shared" si="6"/>
        <v>1</v>
      </c>
      <c r="I120" s="26">
        <v>4740.2187000000004</v>
      </c>
      <c r="J120" s="27">
        <v>7.1444550000000001E-3</v>
      </c>
      <c r="K120" s="28">
        <f t="shared" si="5"/>
        <v>0.10725563481847733</v>
      </c>
      <c r="L120" s="29">
        <f t="shared" si="7"/>
        <v>0</v>
      </c>
    </row>
    <row r="121" spans="2:12" x14ac:dyDescent="0.25">
      <c r="B121" s="43" t="s">
        <v>366</v>
      </c>
      <c r="C121" s="30">
        <v>4131.9271924361283</v>
      </c>
      <c r="D121" s="31">
        <v>7.1161931999999997</v>
      </c>
      <c r="E121" s="22">
        <v>4131.9272000000001</v>
      </c>
      <c r="F121" s="23">
        <v>1.33176048</v>
      </c>
      <c r="G121" s="24">
        <f t="shared" si="4"/>
        <v>1.8305917437985195E-9</v>
      </c>
      <c r="H121" s="25">
        <f t="shared" si="6"/>
        <v>1</v>
      </c>
      <c r="I121" s="26">
        <v>4611.6660000000002</v>
      </c>
      <c r="J121" s="27">
        <v>7.1798310000000002E-3</v>
      </c>
      <c r="K121" s="28">
        <f t="shared" si="5"/>
        <v>0.11610533903939009</v>
      </c>
      <c r="L121" s="29">
        <f t="shared" si="7"/>
        <v>0</v>
      </c>
    </row>
    <row r="122" spans="2:12" x14ac:dyDescent="0.25">
      <c r="B122" s="43" t="s">
        <v>367</v>
      </c>
      <c r="C122" s="30">
        <v>5624.3590159904661</v>
      </c>
      <c r="D122" s="31">
        <v>1.8364942</v>
      </c>
      <c r="E122" s="22">
        <v>5624.3590000000004</v>
      </c>
      <c r="F122" s="23">
        <v>1.262494896</v>
      </c>
      <c r="G122" s="24">
        <f t="shared" si="4"/>
        <v>-2.8430734384457196E-9</v>
      </c>
      <c r="H122" s="25">
        <f t="shared" si="6"/>
        <v>1</v>
      </c>
      <c r="I122" s="26">
        <v>6643.1529</v>
      </c>
      <c r="J122" s="27">
        <v>7.1737600000000004E-3</v>
      </c>
      <c r="K122" s="28">
        <f t="shared" si="5"/>
        <v>0.18113955405638724</v>
      </c>
      <c r="L122" s="29">
        <f t="shared" si="7"/>
        <v>0</v>
      </c>
    </row>
    <row r="123" spans="2:12" ht="15.75" thickBot="1" x14ac:dyDescent="0.3">
      <c r="B123" s="44" t="s">
        <v>368</v>
      </c>
      <c r="C123" s="45">
        <v>8763.9612760866494</v>
      </c>
      <c r="D123" s="46">
        <v>0.83501360000000002</v>
      </c>
      <c r="E123" s="22">
        <v>8763.9613000000008</v>
      </c>
      <c r="F123" s="23">
        <v>1.185911127</v>
      </c>
      <c r="G123" s="24">
        <f t="shared" si="4"/>
        <v>2.7286007681164913E-9</v>
      </c>
      <c r="H123" s="25">
        <f t="shared" si="6"/>
        <v>1</v>
      </c>
      <c r="I123" s="26">
        <v>11314.998799999999</v>
      </c>
      <c r="J123" s="27">
        <v>6.8678639999999996E-3</v>
      </c>
      <c r="K123" s="28">
        <f t="shared" si="5"/>
        <v>0.29108270148044957</v>
      </c>
      <c r="L123" s="29">
        <f t="shared" si="7"/>
        <v>0</v>
      </c>
    </row>
    <row r="124" spans="2:12" ht="15.75" thickBot="1" x14ac:dyDescent="0.3">
      <c r="C124" s="33">
        <f>AVERAGE(C4:C123)</f>
        <v>22971.099501554589</v>
      </c>
      <c r="D124" s="47">
        <f>AVERAGE(D4:D123)</f>
        <v>1.3806615458333333</v>
      </c>
      <c r="E124" s="35">
        <f>AVERAGE(E4:E123)</f>
        <v>22971.099501666667</v>
      </c>
      <c r="F124" s="35">
        <f>AVERAGE(F4:F123)</f>
        <v>1.0320195300500001</v>
      </c>
      <c r="G124" s="36">
        <f>AVERAGE(G4:G123)</f>
        <v>5.7962395164621956E-11</v>
      </c>
      <c r="H124" s="37">
        <f>SUM(H4:H123)</f>
        <v>120</v>
      </c>
      <c r="I124" s="38">
        <f>AVERAGE(I4:I123)</f>
        <v>25953.952517500009</v>
      </c>
      <c r="J124" s="38">
        <f>AVERAGE(J4:J123)</f>
        <v>9.0605978999999982E-3</v>
      </c>
      <c r="K124" s="39">
        <f>AVERAGE(K4:K123)</f>
        <v>0.12420705881011775</v>
      </c>
      <c r="L124" s="40">
        <f>SUM(L4:L123)</f>
        <v>9</v>
      </c>
    </row>
    <row r="127" spans="2:12" ht="15.75" thickBot="1" x14ac:dyDescent="0.3"/>
    <row r="128" spans="2:12" x14ac:dyDescent="0.25">
      <c r="B128" s="1" t="s">
        <v>248</v>
      </c>
      <c r="C128" s="2" t="s">
        <v>125</v>
      </c>
      <c r="D128" s="3"/>
      <c r="E128" s="4" t="s">
        <v>126</v>
      </c>
      <c r="F128" s="5"/>
      <c r="G128" s="5"/>
      <c r="H128" s="6"/>
      <c r="I128" s="7" t="s">
        <v>247</v>
      </c>
      <c r="J128" s="8"/>
      <c r="K128" s="8"/>
      <c r="L128" s="9"/>
    </row>
    <row r="129" spans="2:12" ht="15.75" thickBot="1" x14ac:dyDescent="0.3">
      <c r="B129" s="10"/>
      <c r="C129" s="41" t="s">
        <v>1</v>
      </c>
      <c r="D129" s="42" t="s">
        <v>2</v>
      </c>
      <c r="E129" s="13" t="s">
        <v>1</v>
      </c>
      <c r="F129" s="14" t="s">
        <v>2</v>
      </c>
      <c r="G129" s="14" t="s">
        <v>3</v>
      </c>
      <c r="H129" s="15" t="s">
        <v>4</v>
      </c>
      <c r="I129" s="16" t="s">
        <v>1</v>
      </c>
      <c r="J129" s="17" t="s">
        <v>2</v>
      </c>
      <c r="K129" s="17" t="s">
        <v>3</v>
      </c>
      <c r="L129" s="18" t="s">
        <v>4</v>
      </c>
    </row>
    <row r="130" spans="2:12" x14ac:dyDescent="0.25">
      <c r="B130" s="43" t="s">
        <v>369</v>
      </c>
      <c r="C130" s="30">
        <v>67920.795537904807</v>
      </c>
      <c r="D130" s="31">
        <v>3.8385563760000001</v>
      </c>
      <c r="E130" s="22">
        <v>67920.795499999993</v>
      </c>
      <c r="F130" s="23">
        <v>1.6252050330000001</v>
      </c>
      <c r="G130" s="24">
        <f t="shared" ref="G130:G193" si="8">(E130-C130)/C130</f>
        <v>-5.5807376716871737E-10</v>
      </c>
      <c r="H130" s="25">
        <f>IF(G130&lt;0.000001,1,0)</f>
        <v>1</v>
      </c>
      <c r="I130" s="26">
        <v>72083.357199999999</v>
      </c>
      <c r="J130" s="27">
        <v>8.9973789999999998E-3</v>
      </c>
      <c r="K130" s="28">
        <f t="shared" ref="K130:K193" si="9">(I130-C130)/C130</f>
        <v>6.1285525723446151E-2</v>
      </c>
      <c r="L130" s="29">
        <f>IF(K130&lt;0.000001,1,0)</f>
        <v>0</v>
      </c>
    </row>
    <row r="131" spans="2:12" x14ac:dyDescent="0.25">
      <c r="B131" s="43" t="s">
        <v>370</v>
      </c>
      <c r="C131" s="30">
        <v>66388.590452405784</v>
      </c>
      <c r="D131" s="31">
        <v>2.8061543960000002</v>
      </c>
      <c r="E131" s="22">
        <v>66388.590500000006</v>
      </c>
      <c r="F131" s="23">
        <v>1.390989163</v>
      </c>
      <c r="G131" s="24">
        <f t="shared" si="8"/>
        <v>7.1690363083967736E-10</v>
      </c>
      <c r="H131" s="25">
        <f t="shared" ref="H131:H194" si="10">IF(G131&lt;0.000001,1,0)</f>
        <v>1</v>
      </c>
      <c r="I131" s="26">
        <v>71860.907699999996</v>
      </c>
      <c r="J131" s="27">
        <v>1.1456005999999999E-2</v>
      </c>
      <c r="K131" s="28">
        <f t="shared" si="9"/>
        <v>8.2428580126540502E-2</v>
      </c>
      <c r="L131" s="29">
        <f t="shared" ref="L131:L194" si="11">IF(K131&lt;0.000001,1,0)</f>
        <v>0</v>
      </c>
    </row>
    <row r="132" spans="2:12" x14ac:dyDescent="0.25">
      <c r="B132" s="43" t="s">
        <v>371</v>
      </c>
      <c r="C132" s="30">
        <v>71268.436980245984</v>
      </c>
      <c r="D132" s="31">
        <v>3.399586502</v>
      </c>
      <c r="E132" s="22">
        <v>71268.437000000005</v>
      </c>
      <c r="F132" s="23">
        <v>1.476038856</v>
      </c>
      <c r="G132" s="24">
        <f t="shared" si="8"/>
        <v>2.7717769650497844E-10</v>
      </c>
      <c r="H132" s="25">
        <f t="shared" si="10"/>
        <v>1</v>
      </c>
      <c r="I132" s="26">
        <v>75019.953599999993</v>
      </c>
      <c r="J132" s="27">
        <v>9.0614900000000002E-3</v>
      </c>
      <c r="K132" s="28">
        <f t="shared" si="9"/>
        <v>5.2639243663977729E-2</v>
      </c>
      <c r="L132" s="29">
        <f t="shared" si="11"/>
        <v>0</v>
      </c>
    </row>
    <row r="133" spans="2:12" x14ac:dyDescent="0.25">
      <c r="B133" s="43" t="s">
        <v>372</v>
      </c>
      <c r="C133" s="30">
        <v>52726.943010531897</v>
      </c>
      <c r="D133" s="31">
        <v>1.131722882</v>
      </c>
      <c r="E133" s="22">
        <v>52726.942999999999</v>
      </c>
      <c r="F133" s="23">
        <v>1.4835913519999999</v>
      </c>
      <c r="G133" s="24">
        <f t="shared" si="8"/>
        <v>-1.9974413674472889E-10</v>
      </c>
      <c r="H133" s="25">
        <f t="shared" si="10"/>
        <v>1</v>
      </c>
      <c r="I133" s="26">
        <v>57337.6414</v>
      </c>
      <c r="J133" s="27">
        <v>6.9586450000000003E-3</v>
      </c>
      <c r="K133" s="28">
        <f t="shared" si="9"/>
        <v>8.7444826614490878E-2</v>
      </c>
      <c r="L133" s="29">
        <f t="shared" si="11"/>
        <v>0</v>
      </c>
    </row>
    <row r="134" spans="2:12" x14ac:dyDescent="0.25">
      <c r="B134" s="43" t="s">
        <v>373</v>
      </c>
      <c r="C134" s="30">
        <v>68233.392150350614</v>
      </c>
      <c r="D134" s="31">
        <v>4.3767475759999996</v>
      </c>
      <c r="E134" s="22">
        <v>68233.392200000002</v>
      </c>
      <c r="F134" s="23">
        <v>1.5017393429999999</v>
      </c>
      <c r="G134" s="24">
        <f t="shared" si="8"/>
        <v>7.2764063114375256E-10</v>
      </c>
      <c r="H134" s="25">
        <f t="shared" si="10"/>
        <v>1</v>
      </c>
      <c r="I134" s="26">
        <v>77884.8554</v>
      </c>
      <c r="J134" s="27">
        <v>1.1111706000000001E-2</v>
      </c>
      <c r="K134" s="28">
        <f t="shared" si="9"/>
        <v>0.14144780063671206</v>
      </c>
      <c r="L134" s="29">
        <f t="shared" si="11"/>
        <v>0</v>
      </c>
    </row>
    <row r="135" spans="2:12" x14ac:dyDescent="0.25">
      <c r="B135" s="43" t="s">
        <v>374</v>
      </c>
      <c r="C135" s="30">
        <v>57549.00829369131</v>
      </c>
      <c r="D135" s="31">
        <v>0.57443692899999999</v>
      </c>
      <c r="E135" s="22">
        <v>57549.008300000001</v>
      </c>
      <c r="F135" s="23">
        <v>1.578211171</v>
      </c>
      <c r="G135" s="24">
        <f t="shared" si="8"/>
        <v>1.0962294565978574E-10</v>
      </c>
      <c r="H135" s="25">
        <f t="shared" si="10"/>
        <v>1</v>
      </c>
      <c r="I135" s="26">
        <v>65921.315100000007</v>
      </c>
      <c r="J135" s="27">
        <v>5.2469960000000003E-3</v>
      </c>
      <c r="K135" s="28">
        <f t="shared" si="9"/>
        <v>0.14548133937568641</v>
      </c>
      <c r="L135" s="29">
        <f t="shared" si="11"/>
        <v>0</v>
      </c>
    </row>
    <row r="136" spans="2:12" x14ac:dyDescent="0.25">
      <c r="B136" s="43" t="s">
        <v>375</v>
      </c>
      <c r="C136" s="30">
        <v>77664.83071462033</v>
      </c>
      <c r="D136" s="31">
        <v>2.0445462910000001</v>
      </c>
      <c r="E136" s="22">
        <v>77664.830700000006</v>
      </c>
      <c r="F136" s="23">
        <v>1.6716234619999999</v>
      </c>
      <c r="G136" s="24">
        <f t="shared" si="8"/>
        <v>-1.8824896220501439E-10</v>
      </c>
      <c r="H136" s="25">
        <f t="shared" si="10"/>
        <v>1</v>
      </c>
      <c r="I136" s="26">
        <v>85814.596799999999</v>
      </c>
      <c r="J136" s="27">
        <v>4.6134510000000002E-3</v>
      </c>
      <c r="K136" s="28">
        <f t="shared" si="9"/>
        <v>0.10493509108808866</v>
      </c>
      <c r="L136" s="29">
        <f t="shared" si="11"/>
        <v>0</v>
      </c>
    </row>
    <row r="137" spans="2:12" x14ac:dyDescent="0.25">
      <c r="B137" s="43" t="s">
        <v>376</v>
      </c>
      <c r="C137" s="30">
        <v>86040.802126771508</v>
      </c>
      <c r="D137" s="31">
        <v>2.3688215549999998</v>
      </c>
      <c r="E137" s="22">
        <v>86040.802100000001</v>
      </c>
      <c r="F137" s="23">
        <v>0.80157437200000003</v>
      </c>
      <c r="G137" s="24">
        <f t="shared" si="8"/>
        <v>-3.1114897850611798E-10</v>
      </c>
      <c r="H137" s="25">
        <f t="shared" si="10"/>
        <v>1</v>
      </c>
      <c r="I137" s="26">
        <v>94168.429900000003</v>
      </c>
      <c r="J137" s="27">
        <v>4.913827E-3</v>
      </c>
      <c r="K137" s="28">
        <f t="shared" si="9"/>
        <v>9.4462482593471675E-2</v>
      </c>
      <c r="L137" s="29">
        <f t="shared" si="11"/>
        <v>0</v>
      </c>
    </row>
    <row r="138" spans="2:12" x14ac:dyDescent="0.25">
      <c r="B138" s="43" t="s">
        <v>377</v>
      </c>
      <c r="C138" s="30">
        <v>73988.77457818629</v>
      </c>
      <c r="D138" s="31">
        <v>4.5676159480000003</v>
      </c>
      <c r="E138" s="22">
        <v>73988.774600000004</v>
      </c>
      <c r="F138" s="23">
        <v>0.95659664700000002</v>
      </c>
      <c r="G138" s="24">
        <f t="shared" si="8"/>
        <v>2.9482463999970471E-10</v>
      </c>
      <c r="H138" s="25">
        <f t="shared" si="10"/>
        <v>1</v>
      </c>
      <c r="I138" s="26">
        <v>83105.454500000007</v>
      </c>
      <c r="J138" s="27">
        <v>4.7125480000000004E-3</v>
      </c>
      <c r="K138" s="28">
        <f t="shared" si="9"/>
        <v>0.12321706872141572</v>
      </c>
      <c r="L138" s="29">
        <f t="shared" si="11"/>
        <v>0</v>
      </c>
    </row>
    <row r="139" spans="2:12" x14ac:dyDescent="0.25">
      <c r="B139" s="43" t="s">
        <v>378</v>
      </c>
      <c r="C139" s="30">
        <v>73724.529034368417</v>
      </c>
      <c r="D139" s="31">
        <v>3.620381541</v>
      </c>
      <c r="E139" s="22">
        <v>73724.528999999995</v>
      </c>
      <c r="F139" s="23">
        <v>0.95893557299999999</v>
      </c>
      <c r="G139" s="24">
        <f t="shared" si="8"/>
        <v>-4.6617350830455114E-10</v>
      </c>
      <c r="H139" s="25">
        <f t="shared" si="10"/>
        <v>1</v>
      </c>
      <c r="I139" s="26">
        <v>86052.090100000001</v>
      </c>
      <c r="J139" s="27">
        <v>6.2718990000000001E-3</v>
      </c>
      <c r="K139" s="28">
        <f t="shared" si="9"/>
        <v>0.16721111992298796</v>
      </c>
      <c r="L139" s="29">
        <f t="shared" si="11"/>
        <v>0</v>
      </c>
    </row>
    <row r="140" spans="2:12" x14ac:dyDescent="0.25">
      <c r="B140" s="43" t="s">
        <v>379</v>
      </c>
      <c r="C140" s="30">
        <v>66323.437078296993</v>
      </c>
      <c r="D140" s="31">
        <v>3.6407081350000001</v>
      </c>
      <c r="E140" s="22">
        <v>66323.437099999996</v>
      </c>
      <c r="F140" s="23">
        <v>1.435960192</v>
      </c>
      <c r="G140" s="24">
        <f t="shared" si="8"/>
        <v>3.2722976694278608E-10</v>
      </c>
      <c r="H140" s="25">
        <f t="shared" si="10"/>
        <v>1</v>
      </c>
      <c r="I140" s="26">
        <v>70379.825599999996</v>
      </c>
      <c r="J140" s="27">
        <v>6.3253090000000003E-3</v>
      </c>
      <c r="K140" s="28">
        <f t="shared" si="9"/>
        <v>6.116071030689052E-2</v>
      </c>
      <c r="L140" s="29">
        <f t="shared" si="11"/>
        <v>0</v>
      </c>
    </row>
    <row r="141" spans="2:12" x14ac:dyDescent="0.25">
      <c r="B141" s="43" t="s">
        <v>380</v>
      </c>
      <c r="C141" s="30">
        <v>62332.258129249291</v>
      </c>
      <c r="D141" s="31">
        <v>3.2593416639999999</v>
      </c>
      <c r="E141" s="22">
        <v>62332.258099999999</v>
      </c>
      <c r="F141" s="23">
        <v>1.4087770079999999</v>
      </c>
      <c r="G141" s="24">
        <f t="shared" si="8"/>
        <v>-4.6924806318915127E-10</v>
      </c>
      <c r="H141" s="25">
        <f t="shared" si="10"/>
        <v>1</v>
      </c>
      <c r="I141" s="26">
        <v>66157.841400000005</v>
      </c>
      <c r="J141" s="27">
        <v>6.2510999999999999E-3</v>
      </c>
      <c r="K141" s="28">
        <f t="shared" si="9"/>
        <v>6.137405230560012E-2</v>
      </c>
      <c r="L141" s="29">
        <f t="shared" si="11"/>
        <v>0</v>
      </c>
    </row>
    <row r="142" spans="2:12" x14ac:dyDescent="0.25">
      <c r="B142" s="43" t="s">
        <v>381</v>
      </c>
      <c r="C142" s="30">
        <v>49283.48791784799</v>
      </c>
      <c r="D142" s="31">
        <v>3.0459922590000001</v>
      </c>
      <c r="E142" s="22">
        <v>49283.4879</v>
      </c>
      <c r="F142" s="23">
        <v>1.4388809629999999</v>
      </c>
      <c r="G142" s="24">
        <f t="shared" si="8"/>
        <v>-3.6214947978036333E-10</v>
      </c>
      <c r="H142" s="25">
        <f t="shared" si="10"/>
        <v>1</v>
      </c>
      <c r="I142" s="26">
        <v>57267.241600000001</v>
      </c>
      <c r="J142" s="27">
        <v>8.4732709999999992E-3</v>
      </c>
      <c r="K142" s="28">
        <f t="shared" si="9"/>
        <v>0.16199652296242409</v>
      </c>
      <c r="L142" s="29">
        <f t="shared" si="11"/>
        <v>0</v>
      </c>
    </row>
    <row r="143" spans="2:12" x14ac:dyDescent="0.25">
      <c r="B143" s="43" t="s">
        <v>382</v>
      </c>
      <c r="C143" s="30">
        <v>41343.08469304155</v>
      </c>
      <c r="D143" s="31">
        <v>2.38314738</v>
      </c>
      <c r="E143" s="22">
        <v>41343.084699999999</v>
      </c>
      <c r="F143" s="23">
        <v>1.4492418469999999</v>
      </c>
      <c r="G143" s="24">
        <f t="shared" si="8"/>
        <v>1.6830987400867224E-10</v>
      </c>
      <c r="H143" s="25">
        <f t="shared" si="10"/>
        <v>1</v>
      </c>
      <c r="I143" s="26">
        <v>41343.084699999999</v>
      </c>
      <c r="J143" s="27">
        <v>1.3923721E-2</v>
      </c>
      <c r="K143" s="28">
        <f t="shared" si="9"/>
        <v>1.6830987400867224E-10</v>
      </c>
      <c r="L143" s="29">
        <f t="shared" si="11"/>
        <v>1</v>
      </c>
    </row>
    <row r="144" spans="2:12" x14ac:dyDescent="0.25">
      <c r="B144" s="43" t="s">
        <v>383</v>
      </c>
      <c r="C144" s="30">
        <v>58919.267337057914</v>
      </c>
      <c r="D144" s="31">
        <v>0.55375518599999995</v>
      </c>
      <c r="E144" s="22">
        <v>58919.2673</v>
      </c>
      <c r="F144" s="23">
        <v>0.97257907799999999</v>
      </c>
      <c r="G144" s="24">
        <f t="shared" si="8"/>
        <v>-6.2896088616513836E-10</v>
      </c>
      <c r="H144" s="25">
        <f t="shared" si="10"/>
        <v>1</v>
      </c>
      <c r="I144" s="26">
        <v>76539.302899999995</v>
      </c>
      <c r="J144" s="27">
        <v>7.2949570000000004E-3</v>
      </c>
      <c r="K144" s="28">
        <f t="shared" si="9"/>
        <v>0.29905388100200914</v>
      </c>
      <c r="L144" s="29">
        <f t="shared" si="11"/>
        <v>0</v>
      </c>
    </row>
    <row r="145" spans="2:12" x14ac:dyDescent="0.25">
      <c r="B145" s="43" t="s">
        <v>384</v>
      </c>
      <c r="C145" s="30">
        <v>60563.167152681344</v>
      </c>
      <c r="D145" s="31">
        <v>3.528966069</v>
      </c>
      <c r="E145" s="22">
        <v>60563.167200000004</v>
      </c>
      <c r="F145" s="23">
        <v>0.98354704400000004</v>
      </c>
      <c r="G145" s="24">
        <f t="shared" si="8"/>
        <v>7.8131084326624609E-10</v>
      </c>
      <c r="H145" s="25">
        <f t="shared" si="10"/>
        <v>1</v>
      </c>
      <c r="I145" s="26">
        <v>70710.857099999994</v>
      </c>
      <c r="J145" s="27">
        <v>1.4340136E-2</v>
      </c>
      <c r="K145" s="28">
        <f t="shared" si="9"/>
        <v>0.16755547017110342</v>
      </c>
      <c r="L145" s="29">
        <f t="shared" si="11"/>
        <v>0</v>
      </c>
    </row>
    <row r="146" spans="2:12" x14ac:dyDescent="0.25">
      <c r="B146" s="43" t="s">
        <v>385</v>
      </c>
      <c r="C146" s="30">
        <v>67806.995519092496</v>
      </c>
      <c r="D146" s="31">
        <v>3.0219461910000001</v>
      </c>
      <c r="E146" s="22">
        <v>67806.995500000005</v>
      </c>
      <c r="F146" s="23">
        <v>0.95512076300000004</v>
      </c>
      <c r="G146" s="24">
        <f t="shared" si="8"/>
        <v>-2.815711119959201E-10</v>
      </c>
      <c r="H146" s="25">
        <f t="shared" si="10"/>
        <v>1</v>
      </c>
      <c r="I146" s="26">
        <v>69541.466499999995</v>
      </c>
      <c r="J146" s="27">
        <v>6.3948700000000004E-3</v>
      </c>
      <c r="K146" s="28">
        <f t="shared" si="9"/>
        <v>2.5579528596265888E-2</v>
      </c>
      <c r="L146" s="29">
        <f t="shared" si="11"/>
        <v>0</v>
      </c>
    </row>
    <row r="147" spans="2:12" x14ac:dyDescent="0.25">
      <c r="B147" s="43" t="s">
        <v>386</v>
      </c>
      <c r="C147" s="30">
        <v>57450.793928693347</v>
      </c>
      <c r="D147" s="31">
        <v>4.0095155440000001</v>
      </c>
      <c r="E147" s="22">
        <v>57450.793899999997</v>
      </c>
      <c r="F147" s="23">
        <v>1.0021632650000001</v>
      </c>
      <c r="G147" s="24">
        <f t="shared" si="8"/>
        <v>-4.9944218469087619E-10</v>
      </c>
      <c r="H147" s="25">
        <f t="shared" si="10"/>
        <v>1</v>
      </c>
      <c r="I147" s="26">
        <v>71119.950500000006</v>
      </c>
      <c r="J147" s="27">
        <v>6.7352230000000003E-3</v>
      </c>
      <c r="K147" s="28">
        <f t="shared" si="9"/>
        <v>0.23792807090311952</v>
      </c>
      <c r="L147" s="29">
        <f t="shared" si="11"/>
        <v>0</v>
      </c>
    </row>
    <row r="148" spans="2:12" x14ac:dyDescent="0.25">
      <c r="B148" s="43" t="s">
        <v>387</v>
      </c>
      <c r="C148" s="30">
        <v>66943.092807582914</v>
      </c>
      <c r="D148" s="31">
        <v>4.1454561669999999</v>
      </c>
      <c r="E148" s="22">
        <v>66943.092799999999</v>
      </c>
      <c r="F148" s="23">
        <v>1.0875607700000001</v>
      </c>
      <c r="G148" s="24">
        <f t="shared" si="8"/>
        <v>-1.1327405705330138E-10</v>
      </c>
      <c r="H148" s="25">
        <f t="shared" si="10"/>
        <v>1</v>
      </c>
      <c r="I148" s="26">
        <v>83291.612800000003</v>
      </c>
      <c r="J148" s="27">
        <v>6.3802729999999997E-3</v>
      </c>
      <c r="K148" s="28">
        <f t="shared" si="9"/>
        <v>0.24421518795685557</v>
      </c>
      <c r="L148" s="29">
        <f t="shared" si="11"/>
        <v>0</v>
      </c>
    </row>
    <row r="149" spans="2:12" x14ac:dyDescent="0.25">
      <c r="B149" s="43" t="s">
        <v>388</v>
      </c>
      <c r="C149" s="30">
        <v>53087.718715753203</v>
      </c>
      <c r="D149" s="31">
        <v>4.5664935890000002</v>
      </c>
      <c r="E149" s="22">
        <v>53087.718699999998</v>
      </c>
      <c r="F149" s="23">
        <v>0.90205802400000001</v>
      </c>
      <c r="G149" s="24">
        <f t="shared" si="8"/>
        <v>-2.9673915766933118E-10</v>
      </c>
      <c r="H149" s="25">
        <f t="shared" si="10"/>
        <v>1</v>
      </c>
      <c r="I149" s="26">
        <v>69816.603300000002</v>
      </c>
      <c r="J149" s="27">
        <v>6.5291139999999999E-3</v>
      </c>
      <c r="K149" s="28">
        <f t="shared" si="9"/>
        <v>0.31511778974376392</v>
      </c>
      <c r="L149" s="29">
        <f t="shared" si="11"/>
        <v>0</v>
      </c>
    </row>
    <row r="150" spans="2:12" x14ac:dyDescent="0.25">
      <c r="B150" s="43" t="s">
        <v>389</v>
      </c>
      <c r="C150" s="30">
        <v>45519.766022255695</v>
      </c>
      <c r="D150" s="31">
        <v>3.8445543720000002</v>
      </c>
      <c r="E150" s="22">
        <v>45519.766000000003</v>
      </c>
      <c r="F150" s="23">
        <v>1.348422163</v>
      </c>
      <c r="G150" s="24">
        <f t="shared" si="8"/>
        <v>-4.8892368786397792E-10</v>
      </c>
      <c r="H150" s="25">
        <f t="shared" si="10"/>
        <v>1</v>
      </c>
      <c r="I150" s="26">
        <v>66424.180200000003</v>
      </c>
      <c r="J150" s="27">
        <v>9.1522119999999998E-3</v>
      </c>
      <c r="K150" s="28">
        <f t="shared" si="9"/>
        <v>0.45923817287469454</v>
      </c>
      <c r="L150" s="29">
        <f t="shared" si="11"/>
        <v>0</v>
      </c>
    </row>
    <row r="151" spans="2:12" x14ac:dyDescent="0.25">
      <c r="B151" s="43" t="s">
        <v>390</v>
      </c>
      <c r="C151" s="30">
        <v>42707.84125502035</v>
      </c>
      <c r="D151" s="31">
        <v>3.7100107539999998</v>
      </c>
      <c r="E151" s="22">
        <v>42707.8413</v>
      </c>
      <c r="F151" s="23">
        <v>1.612706921</v>
      </c>
      <c r="G151" s="24">
        <f t="shared" si="8"/>
        <v>1.0531941794988176E-9</v>
      </c>
      <c r="H151" s="25">
        <f t="shared" si="10"/>
        <v>1</v>
      </c>
      <c r="I151" s="26">
        <v>47952.390800000001</v>
      </c>
      <c r="J151" s="27">
        <v>8.3681929999999995E-3</v>
      </c>
      <c r="K151" s="28">
        <f t="shared" si="9"/>
        <v>0.12280062374642148</v>
      </c>
      <c r="L151" s="29">
        <f t="shared" si="11"/>
        <v>0</v>
      </c>
    </row>
    <row r="152" spans="2:12" x14ac:dyDescent="0.25">
      <c r="B152" s="43" t="s">
        <v>391</v>
      </c>
      <c r="C152" s="30">
        <v>39418.164511946794</v>
      </c>
      <c r="D152" s="31">
        <v>3.6294022319999999</v>
      </c>
      <c r="E152" s="22">
        <v>39418.164499999999</v>
      </c>
      <c r="F152" s="23">
        <v>1.2169857319999999</v>
      </c>
      <c r="G152" s="24">
        <f t="shared" si="8"/>
        <v>-3.0307841910740749E-10</v>
      </c>
      <c r="H152" s="25">
        <f t="shared" si="10"/>
        <v>1</v>
      </c>
      <c r="I152" s="26">
        <v>42515.7788</v>
      </c>
      <c r="J152" s="27">
        <v>7.8112119999999997E-3</v>
      </c>
      <c r="K152" s="28">
        <f t="shared" si="9"/>
        <v>7.858342280535123E-2</v>
      </c>
      <c r="L152" s="29">
        <f t="shared" si="11"/>
        <v>0</v>
      </c>
    </row>
    <row r="153" spans="2:12" x14ac:dyDescent="0.25">
      <c r="B153" s="43" t="s">
        <v>392</v>
      </c>
      <c r="C153" s="30">
        <v>42251.885933681238</v>
      </c>
      <c r="D153" s="31">
        <v>3.3656611060000001</v>
      </c>
      <c r="E153" s="22">
        <v>42251.885900000001</v>
      </c>
      <c r="F153" s="23">
        <v>2.2729917300000002</v>
      </c>
      <c r="G153" s="24">
        <f t="shared" si="8"/>
        <v>-7.9715346453621804E-10</v>
      </c>
      <c r="H153" s="25">
        <f t="shared" si="10"/>
        <v>1</v>
      </c>
      <c r="I153" s="26">
        <v>50758.744599999998</v>
      </c>
      <c r="J153" s="27">
        <v>7.5431869999999998E-3</v>
      </c>
      <c r="K153" s="28">
        <f t="shared" si="9"/>
        <v>0.20133678008293324</v>
      </c>
      <c r="L153" s="29">
        <f t="shared" si="11"/>
        <v>0</v>
      </c>
    </row>
    <row r="154" spans="2:12" x14ac:dyDescent="0.25">
      <c r="B154" s="43" t="s">
        <v>393</v>
      </c>
      <c r="C154" s="30">
        <v>63241.213093584491</v>
      </c>
      <c r="D154" s="31">
        <v>3.3156894690000001</v>
      </c>
      <c r="E154" s="22">
        <v>63241.213100000001</v>
      </c>
      <c r="F154" s="23">
        <v>1.2931614739999999</v>
      </c>
      <c r="G154" s="24">
        <f t="shared" si="8"/>
        <v>1.0144508349632734E-10</v>
      </c>
      <c r="H154" s="25">
        <f t="shared" si="10"/>
        <v>1</v>
      </c>
      <c r="I154" s="26">
        <v>70333.739400000006</v>
      </c>
      <c r="J154" s="27">
        <v>9.4782059999999994E-3</v>
      </c>
      <c r="K154" s="28">
        <f t="shared" si="9"/>
        <v>0.11215038357850565</v>
      </c>
      <c r="L154" s="29">
        <f t="shared" si="11"/>
        <v>0</v>
      </c>
    </row>
    <row r="155" spans="2:12" x14ac:dyDescent="0.25">
      <c r="B155" s="43" t="s">
        <v>394</v>
      </c>
      <c r="C155" s="30">
        <v>44657.277403693108</v>
      </c>
      <c r="D155" s="31">
        <v>3.319381183</v>
      </c>
      <c r="E155" s="22">
        <v>44657.277399999999</v>
      </c>
      <c r="F155" s="23">
        <v>1.250995549</v>
      </c>
      <c r="G155" s="24">
        <f t="shared" si="8"/>
        <v>-8.2698922832876611E-11</v>
      </c>
      <c r="H155" s="25">
        <f t="shared" si="10"/>
        <v>1</v>
      </c>
      <c r="I155" s="26">
        <v>62350.783900000002</v>
      </c>
      <c r="J155" s="27">
        <v>8.1455329999999999E-3</v>
      </c>
      <c r="K155" s="28">
        <f t="shared" si="9"/>
        <v>0.39620656531209986</v>
      </c>
      <c r="L155" s="29">
        <f t="shared" si="11"/>
        <v>0</v>
      </c>
    </row>
    <row r="156" spans="2:12" x14ac:dyDescent="0.25">
      <c r="B156" s="43" t="s">
        <v>395</v>
      </c>
      <c r="C156" s="30">
        <v>43587.346124664749</v>
      </c>
      <c r="D156" s="31">
        <v>1.947459273</v>
      </c>
      <c r="E156" s="22">
        <v>43587.346100000002</v>
      </c>
      <c r="F156" s="23">
        <v>1.2360463180000001</v>
      </c>
      <c r="G156" s="24">
        <f t="shared" si="8"/>
        <v>-5.6586943416797118E-10</v>
      </c>
      <c r="H156" s="25">
        <f t="shared" si="10"/>
        <v>1</v>
      </c>
      <c r="I156" s="26">
        <v>51564.0308</v>
      </c>
      <c r="J156" s="27">
        <v>7.3030439999999999E-3</v>
      </c>
      <c r="K156" s="28">
        <f t="shared" si="9"/>
        <v>0.18300459616240522</v>
      </c>
      <c r="L156" s="29">
        <f t="shared" si="11"/>
        <v>0</v>
      </c>
    </row>
    <row r="157" spans="2:12" x14ac:dyDescent="0.25">
      <c r="B157" s="43" t="s">
        <v>396</v>
      </c>
      <c r="C157" s="30">
        <v>37659.339940228092</v>
      </c>
      <c r="D157" s="31">
        <v>3.9102098110000001</v>
      </c>
      <c r="E157" s="22">
        <v>37659.339899999999</v>
      </c>
      <c r="F157" s="23">
        <v>1.4061458229999999</v>
      </c>
      <c r="G157" s="24">
        <f t="shared" si="8"/>
        <v>-1.0682102513907839E-9</v>
      </c>
      <c r="H157" s="25">
        <f t="shared" si="10"/>
        <v>1</v>
      </c>
      <c r="I157" s="26">
        <v>37747.6751</v>
      </c>
      <c r="J157" s="27">
        <v>2.0907021000000001E-2</v>
      </c>
      <c r="K157" s="28">
        <f t="shared" si="9"/>
        <v>2.3456374942341421E-3</v>
      </c>
      <c r="L157" s="29">
        <f t="shared" si="11"/>
        <v>0</v>
      </c>
    </row>
    <row r="158" spans="2:12" x14ac:dyDescent="0.25">
      <c r="B158" s="43" t="s">
        <v>397</v>
      </c>
      <c r="C158" s="30">
        <v>50810.81559838081</v>
      </c>
      <c r="D158" s="31">
        <v>3.9256335689999999</v>
      </c>
      <c r="E158" s="22">
        <v>50810.815600000002</v>
      </c>
      <c r="F158" s="23">
        <v>1.2490581759999999</v>
      </c>
      <c r="G158" s="24">
        <f t="shared" si="8"/>
        <v>3.1867065867605919E-11</v>
      </c>
      <c r="H158" s="25">
        <f t="shared" si="10"/>
        <v>1</v>
      </c>
      <c r="I158" s="26">
        <v>62847.146699999998</v>
      </c>
      <c r="J158" s="27">
        <v>1.6859036000000001E-2</v>
      </c>
      <c r="K158" s="28">
        <f t="shared" si="9"/>
        <v>0.2368852174457666</v>
      </c>
      <c r="L158" s="29">
        <f t="shared" si="11"/>
        <v>0</v>
      </c>
    </row>
    <row r="159" spans="2:12" x14ac:dyDescent="0.25">
      <c r="B159" s="43" t="s">
        <v>398</v>
      </c>
      <c r="C159" s="30">
        <v>44774.858107138258</v>
      </c>
      <c r="D159" s="31">
        <v>0.54569742399999999</v>
      </c>
      <c r="E159" s="22">
        <v>44774.858099999998</v>
      </c>
      <c r="F159" s="23">
        <v>1.1557396010000001</v>
      </c>
      <c r="G159" s="24">
        <f t="shared" si="8"/>
        <v>-1.5942563344934384E-10</v>
      </c>
      <c r="H159" s="25">
        <f t="shared" si="10"/>
        <v>1</v>
      </c>
      <c r="I159" s="26">
        <v>58909.6895</v>
      </c>
      <c r="J159" s="27">
        <v>1.5541071E-2</v>
      </c>
      <c r="K159" s="28">
        <f t="shared" si="9"/>
        <v>0.31568679366977803</v>
      </c>
      <c r="L159" s="29">
        <f t="shared" si="11"/>
        <v>0</v>
      </c>
    </row>
    <row r="160" spans="2:12" x14ac:dyDescent="0.25">
      <c r="B160" s="43" t="s">
        <v>399</v>
      </c>
      <c r="C160" s="30">
        <v>38613.894332346696</v>
      </c>
      <c r="D160" s="31">
        <v>3.662250856</v>
      </c>
      <c r="E160" s="22">
        <v>38613.8943</v>
      </c>
      <c r="F160" s="23">
        <v>1.666618876</v>
      </c>
      <c r="G160" s="24">
        <f t="shared" si="8"/>
        <v>-8.3769576264800909E-10</v>
      </c>
      <c r="H160" s="25">
        <f t="shared" si="10"/>
        <v>1</v>
      </c>
      <c r="I160" s="26">
        <v>43791.302600000003</v>
      </c>
      <c r="J160" s="27">
        <v>2.0859702000000001E-2</v>
      </c>
      <c r="K160" s="28">
        <f t="shared" si="9"/>
        <v>0.13408148432509212</v>
      </c>
      <c r="L160" s="29">
        <f t="shared" si="11"/>
        <v>0</v>
      </c>
    </row>
    <row r="161" spans="2:12" x14ac:dyDescent="0.25">
      <c r="B161" s="43" t="s">
        <v>400</v>
      </c>
      <c r="C161" s="30">
        <v>35637.021839937159</v>
      </c>
      <c r="D161" s="31">
        <v>3.7451145700000001</v>
      </c>
      <c r="E161" s="22">
        <v>35637.021800000002</v>
      </c>
      <c r="F161" s="23">
        <v>1.921604264</v>
      </c>
      <c r="G161" s="24">
        <f t="shared" si="8"/>
        <v>-1.1206648165769321E-9</v>
      </c>
      <c r="H161" s="25">
        <f t="shared" si="10"/>
        <v>1</v>
      </c>
      <c r="I161" s="26">
        <v>46035.530500000001</v>
      </c>
      <c r="J161" s="27">
        <v>7.7989690000000002E-3</v>
      </c>
      <c r="K161" s="28">
        <f t="shared" si="9"/>
        <v>0.2917894965176242</v>
      </c>
      <c r="L161" s="29">
        <f t="shared" si="11"/>
        <v>0</v>
      </c>
    </row>
    <row r="162" spans="2:12" x14ac:dyDescent="0.25">
      <c r="B162" s="43" t="s">
        <v>401</v>
      </c>
      <c r="C162" s="30">
        <v>33095.296198439995</v>
      </c>
      <c r="D162" s="31">
        <v>1.825602288</v>
      </c>
      <c r="E162" s="22">
        <v>33095.296199999997</v>
      </c>
      <c r="F162" s="23">
        <v>2.0281808379999999</v>
      </c>
      <c r="G162" s="24">
        <f t="shared" si="8"/>
        <v>4.713665902595943E-11</v>
      </c>
      <c r="H162" s="25">
        <f t="shared" si="10"/>
        <v>1</v>
      </c>
      <c r="I162" s="26">
        <v>49194.117899999997</v>
      </c>
      <c r="J162" s="27">
        <v>8.0500829999999995E-3</v>
      </c>
      <c r="K162" s="28">
        <f t="shared" si="9"/>
        <v>0.48643836287281356</v>
      </c>
      <c r="L162" s="29">
        <f t="shared" si="11"/>
        <v>0</v>
      </c>
    </row>
    <row r="163" spans="2:12" x14ac:dyDescent="0.25">
      <c r="B163" s="43" t="s">
        <v>402</v>
      </c>
      <c r="C163" s="30">
        <v>17762.078003357656</v>
      </c>
      <c r="D163" s="31">
        <v>0.55857336000000002</v>
      </c>
      <c r="E163" s="22">
        <v>17762.078000000001</v>
      </c>
      <c r="F163" s="23">
        <v>1.9354486449999999</v>
      </c>
      <c r="G163" s="24">
        <f t="shared" si="8"/>
        <v>-1.8903499632624891E-10</v>
      </c>
      <c r="H163" s="25">
        <f t="shared" si="10"/>
        <v>1</v>
      </c>
      <c r="I163" s="26">
        <v>24807.0461</v>
      </c>
      <c r="J163" s="27">
        <v>7.1665970000000002E-3</v>
      </c>
      <c r="K163" s="28">
        <f t="shared" si="9"/>
        <v>0.39662972402838215</v>
      </c>
      <c r="L163" s="29">
        <f t="shared" si="11"/>
        <v>0</v>
      </c>
    </row>
    <row r="164" spans="2:12" x14ac:dyDescent="0.25">
      <c r="B164" s="43" t="s">
        <v>403</v>
      </c>
      <c r="C164" s="30">
        <v>34393.16004113805</v>
      </c>
      <c r="D164" s="31">
        <v>3.9833497260000001</v>
      </c>
      <c r="E164" s="22">
        <v>34393.160000000003</v>
      </c>
      <c r="F164" s="23">
        <v>2.1061719810000001</v>
      </c>
      <c r="G164" s="24">
        <f t="shared" si="8"/>
        <v>-1.1961112623166636E-9</v>
      </c>
      <c r="H164" s="25">
        <f t="shared" si="10"/>
        <v>1</v>
      </c>
      <c r="I164" s="26">
        <v>45522.816700000003</v>
      </c>
      <c r="J164" s="27">
        <v>7.7999899999999997E-3</v>
      </c>
      <c r="K164" s="28">
        <f t="shared" si="9"/>
        <v>0.32360087428865636</v>
      </c>
      <c r="L164" s="29">
        <f t="shared" si="11"/>
        <v>0</v>
      </c>
    </row>
    <row r="165" spans="2:12" x14ac:dyDescent="0.25">
      <c r="B165" s="43" t="s">
        <v>404</v>
      </c>
      <c r="C165" s="30">
        <v>37693.434503471603</v>
      </c>
      <c r="D165" s="31">
        <v>2.9178135109999999</v>
      </c>
      <c r="E165" s="22">
        <v>37693.434500000003</v>
      </c>
      <c r="F165" s="23">
        <v>1.9966199760000001</v>
      </c>
      <c r="G165" s="24">
        <f t="shared" si="8"/>
        <v>-9.2100906432616084E-11</v>
      </c>
      <c r="H165" s="25">
        <f t="shared" si="10"/>
        <v>1</v>
      </c>
      <c r="I165" s="26">
        <v>43555.004200000003</v>
      </c>
      <c r="J165" s="27">
        <v>7.65126E-3</v>
      </c>
      <c r="K165" s="28">
        <f t="shared" si="9"/>
        <v>0.15550638390323768</v>
      </c>
      <c r="L165" s="29">
        <f t="shared" si="11"/>
        <v>0</v>
      </c>
    </row>
    <row r="166" spans="2:12" x14ac:dyDescent="0.25">
      <c r="B166" s="43" t="s">
        <v>405</v>
      </c>
      <c r="C166" s="30">
        <v>44907.158755521996</v>
      </c>
      <c r="D166" s="31">
        <v>3.383351126</v>
      </c>
      <c r="E166" s="22">
        <v>44907.158799999997</v>
      </c>
      <c r="F166" s="23">
        <v>1.588211598</v>
      </c>
      <c r="G166" s="24">
        <f t="shared" si="8"/>
        <v>9.9044345907566915E-10</v>
      </c>
      <c r="H166" s="25">
        <f t="shared" si="10"/>
        <v>1</v>
      </c>
      <c r="I166" s="26">
        <v>54269.175199999998</v>
      </c>
      <c r="J166" s="27">
        <v>7.4872410000000004E-3</v>
      </c>
      <c r="K166" s="28">
        <f t="shared" si="9"/>
        <v>0.20847492257182279</v>
      </c>
      <c r="L166" s="29">
        <f t="shared" si="11"/>
        <v>0</v>
      </c>
    </row>
    <row r="167" spans="2:12" x14ac:dyDescent="0.25">
      <c r="B167" s="43" t="s">
        <v>406</v>
      </c>
      <c r="C167" s="30">
        <v>40822.767471958439</v>
      </c>
      <c r="D167" s="31">
        <v>2.064360352</v>
      </c>
      <c r="E167" s="22">
        <v>40822.767500000002</v>
      </c>
      <c r="F167" s="23">
        <v>1.6200865520000001</v>
      </c>
      <c r="G167" s="24">
        <f t="shared" si="8"/>
        <v>6.8690988410322234E-10</v>
      </c>
      <c r="H167" s="25">
        <f t="shared" si="10"/>
        <v>1</v>
      </c>
      <c r="I167" s="26">
        <v>56501.0524</v>
      </c>
      <c r="J167" s="27">
        <v>7.0958729999999999E-3</v>
      </c>
      <c r="K167" s="28">
        <f t="shared" si="9"/>
        <v>0.38405737530683409</v>
      </c>
      <c r="L167" s="29">
        <f t="shared" si="11"/>
        <v>0</v>
      </c>
    </row>
    <row r="168" spans="2:12" x14ac:dyDescent="0.25">
      <c r="B168" s="43" t="s">
        <v>407</v>
      </c>
      <c r="C168" s="30">
        <v>38580.479677555617</v>
      </c>
      <c r="D168" s="31">
        <v>3.5823925000000001</v>
      </c>
      <c r="E168" s="22">
        <v>38580.479700000004</v>
      </c>
      <c r="F168" s="23">
        <v>1.5689886470000001</v>
      </c>
      <c r="G168" s="24">
        <f t="shared" si="8"/>
        <v>5.8175498974239071E-10</v>
      </c>
      <c r="H168" s="25">
        <f t="shared" si="10"/>
        <v>1</v>
      </c>
      <c r="I168" s="26">
        <v>40997.352400000003</v>
      </c>
      <c r="J168" s="27">
        <v>9.1727900000000001E-3</v>
      </c>
      <c r="K168" s="28">
        <f t="shared" si="9"/>
        <v>6.2644963013521418E-2</v>
      </c>
      <c r="L168" s="29">
        <f t="shared" si="11"/>
        <v>0</v>
      </c>
    </row>
    <row r="169" spans="2:12" x14ac:dyDescent="0.25">
      <c r="B169" s="43" t="s">
        <v>408</v>
      </c>
      <c r="C169" s="30">
        <v>39401.496801926594</v>
      </c>
      <c r="D169" s="31">
        <v>3.4694538119999998</v>
      </c>
      <c r="E169" s="22">
        <v>39401.496800000001</v>
      </c>
      <c r="F169" s="23">
        <v>1.7324761630000001</v>
      </c>
      <c r="G169" s="24">
        <f t="shared" si="8"/>
        <v>-4.8896455644492458E-11</v>
      </c>
      <c r="H169" s="25">
        <f t="shared" si="10"/>
        <v>1</v>
      </c>
      <c r="I169" s="26">
        <v>50027.872199999998</v>
      </c>
      <c r="J169" s="27">
        <v>1.0744794E-2</v>
      </c>
      <c r="K169" s="28">
        <f t="shared" si="9"/>
        <v>0.26969471366767495</v>
      </c>
      <c r="L169" s="29">
        <f t="shared" si="11"/>
        <v>0</v>
      </c>
    </row>
    <row r="170" spans="2:12" x14ac:dyDescent="0.25">
      <c r="B170" s="43" t="s">
        <v>409</v>
      </c>
      <c r="C170" s="30">
        <v>50574.289968315097</v>
      </c>
      <c r="D170" s="31">
        <v>2.4899215539999999</v>
      </c>
      <c r="E170" s="22">
        <v>50574.29</v>
      </c>
      <c r="F170" s="23">
        <v>0.43511728</v>
      </c>
      <c r="G170" s="24">
        <f t="shared" si="8"/>
        <v>6.2650219470485484E-10</v>
      </c>
      <c r="H170" s="25">
        <f t="shared" si="10"/>
        <v>1</v>
      </c>
      <c r="I170" s="26">
        <v>58444.851499999997</v>
      </c>
      <c r="J170" s="27">
        <v>5.2429390000000003E-3</v>
      </c>
      <c r="K170" s="28">
        <f t="shared" si="9"/>
        <v>0.1556237672662498</v>
      </c>
      <c r="L170" s="29">
        <f t="shared" si="11"/>
        <v>0</v>
      </c>
    </row>
    <row r="171" spans="2:12" x14ac:dyDescent="0.25">
      <c r="B171" s="43" t="s">
        <v>410</v>
      </c>
      <c r="C171" s="30">
        <v>48714.915642506297</v>
      </c>
      <c r="D171" s="31">
        <v>3.793346643</v>
      </c>
      <c r="E171" s="22">
        <v>48714.9156</v>
      </c>
      <c r="F171" s="23">
        <v>0.417665966</v>
      </c>
      <c r="G171" s="24">
        <f t="shared" si="8"/>
        <v>-8.7255200212397613E-10</v>
      </c>
      <c r="H171" s="25">
        <f t="shared" si="10"/>
        <v>1</v>
      </c>
      <c r="I171" s="26">
        <v>53503.898000000001</v>
      </c>
      <c r="J171" s="27">
        <v>4.4385709999999997E-3</v>
      </c>
      <c r="K171" s="28">
        <f t="shared" si="9"/>
        <v>9.8306284519459733E-2</v>
      </c>
      <c r="L171" s="29">
        <f t="shared" si="11"/>
        <v>0</v>
      </c>
    </row>
    <row r="172" spans="2:12" x14ac:dyDescent="0.25">
      <c r="B172" s="43" t="s">
        <v>411</v>
      </c>
      <c r="C172" s="30">
        <v>49837.675785595355</v>
      </c>
      <c r="D172" s="31">
        <v>4.7208829909999999</v>
      </c>
      <c r="E172" s="22">
        <v>49837.675799999997</v>
      </c>
      <c r="F172" s="23">
        <v>0.39624532400000001</v>
      </c>
      <c r="G172" s="24">
        <f t="shared" si="8"/>
        <v>2.8903118661206824E-10</v>
      </c>
      <c r="H172" s="25">
        <f t="shared" si="10"/>
        <v>1</v>
      </c>
      <c r="I172" s="26">
        <v>54824.218399999998</v>
      </c>
      <c r="J172" s="27">
        <v>4.6325369999999999E-3</v>
      </c>
      <c r="K172" s="28">
        <f t="shared" si="9"/>
        <v>0.10005568148597151</v>
      </c>
      <c r="L172" s="29">
        <f t="shared" si="11"/>
        <v>0</v>
      </c>
    </row>
    <row r="173" spans="2:12" x14ac:dyDescent="0.25">
      <c r="B173" s="43" t="s">
        <v>412</v>
      </c>
      <c r="C173" s="30">
        <v>58346.487976338387</v>
      </c>
      <c r="D173" s="31">
        <v>11.531673959000001</v>
      </c>
      <c r="E173" s="22">
        <v>58346.487999999998</v>
      </c>
      <c r="F173" s="23">
        <v>0.38758540699999999</v>
      </c>
      <c r="G173" s="24">
        <f t="shared" si="8"/>
        <v>4.055361587791835E-10</v>
      </c>
      <c r="H173" s="25">
        <f t="shared" si="10"/>
        <v>1</v>
      </c>
      <c r="I173" s="26">
        <v>72209.823799999998</v>
      </c>
      <c r="J173" s="27">
        <v>4.1042609999999997E-3</v>
      </c>
      <c r="K173" s="28">
        <f t="shared" si="9"/>
        <v>0.23760360399556005</v>
      </c>
      <c r="L173" s="29">
        <f t="shared" si="11"/>
        <v>0</v>
      </c>
    </row>
    <row r="174" spans="2:12" x14ac:dyDescent="0.25">
      <c r="B174" s="43" t="s">
        <v>413</v>
      </c>
      <c r="C174" s="30">
        <v>74120.333670632026</v>
      </c>
      <c r="D174" s="31">
        <v>7.6672008549999999</v>
      </c>
      <c r="E174" s="22">
        <v>74120.333700000003</v>
      </c>
      <c r="F174" s="23">
        <v>0.50919993799999996</v>
      </c>
      <c r="G174" s="24">
        <f t="shared" si="8"/>
        <v>3.9622024574877491E-10</v>
      </c>
      <c r="H174" s="25">
        <f t="shared" si="10"/>
        <v>1</v>
      </c>
      <c r="I174" s="26">
        <v>89267.548500000004</v>
      </c>
      <c r="J174" s="27">
        <v>5.189567E-3</v>
      </c>
      <c r="K174" s="28">
        <f t="shared" si="9"/>
        <v>0.20435977658543125</v>
      </c>
      <c r="L174" s="29">
        <f t="shared" si="11"/>
        <v>0</v>
      </c>
    </row>
    <row r="175" spans="2:12" x14ac:dyDescent="0.25">
      <c r="B175" s="43" t="s">
        <v>414</v>
      </c>
      <c r="C175" s="30">
        <v>49401.610730802</v>
      </c>
      <c r="D175" s="31">
        <v>5.2778768989999998</v>
      </c>
      <c r="E175" s="22">
        <v>49401.610699999997</v>
      </c>
      <c r="F175" s="23">
        <v>0.46493674899999998</v>
      </c>
      <c r="G175" s="24">
        <f t="shared" si="8"/>
        <v>-6.2350198968089382E-10</v>
      </c>
      <c r="H175" s="25">
        <f t="shared" si="10"/>
        <v>1</v>
      </c>
      <c r="I175" s="26">
        <v>51665.324399999998</v>
      </c>
      <c r="J175" s="27">
        <v>4.1996510000000004E-3</v>
      </c>
      <c r="K175" s="28">
        <f t="shared" si="9"/>
        <v>4.5822669255327901E-2</v>
      </c>
      <c r="L175" s="29">
        <f t="shared" si="11"/>
        <v>0</v>
      </c>
    </row>
    <row r="176" spans="2:12" x14ac:dyDescent="0.25">
      <c r="B176" s="43" t="s">
        <v>415</v>
      </c>
      <c r="C176" s="30">
        <v>60252.052851769811</v>
      </c>
      <c r="D176" s="31">
        <v>5.4194270360000001</v>
      </c>
      <c r="E176" s="22">
        <v>60252.052900000002</v>
      </c>
      <c r="F176" s="23">
        <v>0.50346573900000002</v>
      </c>
      <c r="G176" s="24">
        <f t="shared" si="8"/>
        <v>8.004738243109386E-10</v>
      </c>
      <c r="H176" s="25">
        <f t="shared" si="10"/>
        <v>1</v>
      </c>
      <c r="I176" s="26">
        <v>63638.712099999997</v>
      </c>
      <c r="J176" s="27">
        <v>5.3204039999999999E-3</v>
      </c>
      <c r="K176" s="28">
        <f t="shared" si="9"/>
        <v>5.6208196865290841E-2</v>
      </c>
      <c r="L176" s="29">
        <f t="shared" si="11"/>
        <v>0</v>
      </c>
    </row>
    <row r="177" spans="2:12" x14ac:dyDescent="0.25">
      <c r="B177" s="43" t="s">
        <v>416</v>
      </c>
      <c r="C177" s="30">
        <v>47644.499730676624</v>
      </c>
      <c r="D177" s="31">
        <v>5.1560390910000002</v>
      </c>
      <c r="E177" s="22">
        <v>47644.4997</v>
      </c>
      <c r="F177" s="23">
        <v>0.38564745499999997</v>
      </c>
      <c r="G177" s="24">
        <f t="shared" si="8"/>
        <v>-6.438649467597796E-10</v>
      </c>
      <c r="H177" s="25">
        <f t="shared" si="10"/>
        <v>1</v>
      </c>
      <c r="I177" s="26">
        <v>48253.450900000003</v>
      </c>
      <c r="J177" s="27">
        <v>7.1780780000000001E-3</v>
      </c>
      <c r="K177" s="28">
        <f t="shared" si="9"/>
        <v>1.2781143107087712E-2</v>
      </c>
      <c r="L177" s="29">
        <f t="shared" si="11"/>
        <v>0</v>
      </c>
    </row>
    <row r="178" spans="2:12" x14ac:dyDescent="0.25">
      <c r="B178" s="43" t="s">
        <v>417</v>
      </c>
      <c r="C178" s="30">
        <v>52743.75197158334</v>
      </c>
      <c r="D178" s="31">
        <v>4.4091179770000002</v>
      </c>
      <c r="E178" s="22">
        <v>52743.752</v>
      </c>
      <c r="F178" s="23">
        <v>0.62404872</v>
      </c>
      <c r="G178" s="24">
        <f t="shared" si="8"/>
        <v>5.3876826834635805E-10</v>
      </c>
      <c r="H178" s="25">
        <f t="shared" si="10"/>
        <v>1</v>
      </c>
      <c r="I178" s="26">
        <v>55686.254399999998</v>
      </c>
      <c r="J178" s="27">
        <v>1.4059637E-2</v>
      </c>
      <c r="K178" s="28">
        <f t="shared" si="9"/>
        <v>5.5788644501475443E-2</v>
      </c>
      <c r="L178" s="29">
        <f t="shared" si="11"/>
        <v>0</v>
      </c>
    </row>
    <row r="179" spans="2:12" x14ac:dyDescent="0.25">
      <c r="B179" s="43" t="s">
        <v>418</v>
      </c>
      <c r="C179" s="30">
        <v>51919.576084745844</v>
      </c>
      <c r="D179" s="31">
        <v>5.8174885859999996</v>
      </c>
      <c r="E179" s="22">
        <v>51919.576099999998</v>
      </c>
      <c r="F179" s="23">
        <v>0.452144834</v>
      </c>
      <c r="G179" s="24">
        <f t="shared" si="8"/>
        <v>2.9380352128840838E-10</v>
      </c>
      <c r="H179" s="25">
        <f t="shared" si="10"/>
        <v>1</v>
      </c>
      <c r="I179" s="26">
        <v>54017.430500000002</v>
      </c>
      <c r="J179" s="27">
        <v>3.2509520000000001E-3</v>
      </c>
      <c r="K179" s="28">
        <f t="shared" si="9"/>
        <v>4.0405846377288029E-2</v>
      </c>
      <c r="L179" s="29">
        <f t="shared" si="11"/>
        <v>0</v>
      </c>
    </row>
    <row r="180" spans="2:12" x14ac:dyDescent="0.25">
      <c r="B180" s="43" t="s">
        <v>419</v>
      </c>
      <c r="C180" s="30">
        <v>50184.440300763206</v>
      </c>
      <c r="D180" s="31">
        <v>7.7596232299999999</v>
      </c>
      <c r="E180" s="22">
        <v>50184.440300000002</v>
      </c>
      <c r="F180" s="23">
        <v>0.76312754699999996</v>
      </c>
      <c r="G180" s="24">
        <f t="shared" si="8"/>
        <v>-1.5207986647019543E-11</v>
      </c>
      <c r="H180" s="25">
        <f t="shared" si="10"/>
        <v>1</v>
      </c>
      <c r="I180" s="26">
        <v>54208.550799999997</v>
      </c>
      <c r="J180" s="27">
        <v>4.3570070000000004E-3</v>
      </c>
      <c r="K180" s="28">
        <f t="shared" si="9"/>
        <v>8.0186417844249472E-2</v>
      </c>
      <c r="L180" s="29">
        <f t="shared" si="11"/>
        <v>0</v>
      </c>
    </row>
    <row r="181" spans="2:12" x14ac:dyDescent="0.25">
      <c r="B181" s="43" t="s">
        <v>420</v>
      </c>
      <c r="C181" s="30">
        <v>46623.863849770998</v>
      </c>
      <c r="D181" s="31">
        <v>8.0549843980000002</v>
      </c>
      <c r="E181" s="22">
        <v>46623.863799999999</v>
      </c>
      <c r="F181" s="23">
        <v>0.82751110400000005</v>
      </c>
      <c r="G181" s="24">
        <f t="shared" si="8"/>
        <v>-1.0675005195899957E-9</v>
      </c>
      <c r="H181" s="25">
        <f t="shared" si="10"/>
        <v>1</v>
      </c>
      <c r="I181" s="26">
        <v>54683.327799999999</v>
      </c>
      <c r="J181" s="27">
        <v>4.2035170000000004E-3</v>
      </c>
      <c r="K181" s="28">
        <f t="shared" si="9"/>
        <v>0.17286134791826324</v>
      </c>
      <c r="L181" s="29">
        <f t="shared" si="11"/>
        <v>0</v>
      </c>
    </row>
    <row r="182" spans="2:12" x14ac:dyDescent="0.25">
      <c r="B182" s="43" t="s">
        <v>421</v>
      </c>
      <c r="C182" s="30">
        <v>46405.805977252799</v>
      </c>
      <c r="D182" s="31">
        <v>6.8862091640000003</v>
      </c>
      <c r="E182" s="22">
        <v>46405.805999999997</v>
      </c>
      <c r="F182" s="23">
        <v>0.97982170199999996</v>
      </c>
      <c r="G182" s="24">
        <f t="shared" si="8"/>
        <v>4.9017998683634953E-10</v>
      </c>
      <c r="H182" s="25">
        <f t="shared" si="10"/>
        <v>1</v>
      </c>
      <c r="I182" s="26">
        <v>46405.805999999997</v>
      </c>
      <c r="J182" s="27">
        <v>4.732595E-3</v>
      </c>
      <c r="K182" s="28">
        <f t="shared" si="9"/>
        <v>4.9017998683634953E-10</v>
      </c>
      <c r="L182" s="29">
        <f t="shared" si="11"/>
        <v>1</v>
      </c>
    </row>
    <row r="183" spans="2:12" x14ac:dyDescent="0.25">
      <c r="B183" s="43" t="s">
        <v>422</v>
      </c>
      <c r="C183" s="30">
        <v>47542.034674976785</v>
      </c>
      <c r="D183" s="31">
        <v>4.3387394610000003</v>
      </c>
      <c r="E183" s="22">
        <v>47542.034699999997</v>
      </c>
      <c r="F183" s="23">
        <v>0.94684733200000004</v>
      </c>
      <c r="G183" s="24">
        <f t="shared" si="8"/>
        <v>5.2633867404493339E-10</v>
      </c>
      <c r="H183" s="25">
        <f t="shared" si="10"/>
        <v>1</v>
      </c>
      <c r="I183" s="26">
        <v>50158.243799999997</v>
      </c>
      <c r="J183" s="27">
        <v>5.0280530000000002E-3</v>
      </c>
      <c r="K183" s="28">
        <f t="shared" si="9"/>
        <v>5.5029389106062469E-2</v>
      </c>
      <c r="L183" s="29">
        <f t="shared" si="11"/>
        <v>0</v>
      </c>
    </row>
    <row r="184" spans="2:12" x14ac:dyDescent="0.25">
      <c r="B184" s="43" t="s">
        <v>423</v>
      </c>
      <c r="C184" s="30">
        <v>50765.046978455059</v>
      </c>
      <c r="D184" s="31">
        <v>6.6541621739999997</v>
      </c>
      <c r="E184" s="22">
        <v>50765.046999999999</v>
      </c>
      <c r="F184" s="23">
        <v>0.83914035200000003</v>
      </c>
      <c r="G184" s="24">
        <f t="shared" si="8"/>
        <v>4.2440500377964629E-10</v>
      </c>
      <c r="H184" s="25">
        <f t="shared" si="10"/>
        <v>1</v>
      </c>
      <c r="I184" s="26">
        <v>62999.696900000003</v>
      </c>
      <c r="J184" s="27">
        <v>4.8566399999999997E-3</v>
      </c>
      <c r="K184" s="28">
        <f t="shared" si="9"/>
        <v>0.24100538952987458</v>
      </c>
      <c r="L184" s="29">
        <f t="shared" si="11"/>
        <v>0</v>
      </c>
    </row>
    <row r="185" spans="2:12" x14ac:dyDescent="0.25">
      <c r="B185" s="43" t="s">
        <v>424</v>
      </c>
      <c r="C185" s="30">
        <v>49320.958110787695</v>
      </c>
      <c r="D185" s="31">
        <v>6.6298668559999996</v>
      </c>
      <c r="E185" s="22">
        <v>49320.958100000003</v>
      </c>
      <c r="F185" s="23">
        <v>0.86964993899999998</v>
      </c>
      <c r="G185" s="24">
        <f t="shared" si="8"/>
        <v>-2.1872428464344678E-10</v>
      </c>
      <c r="H185" s="25">
        <f t="shared" si="10"/>
        <v>1</v>
      </c>
      <c r="I185" s="26">
        <v>55270.665800000002</v>
      </c>
      <c r="J185" s="27">
        <v>4.4636179999999999E-3</v>
      </c>
      <c r="K185" s="28">
        <f t="shared" si="9"/>
        <v>0.12063244342998604</v>
      </c>
      <c r="L185" s="29">
        <f t="shared" si="11"/>
        <v>0</v>
      </c>
    </row>
    <row r="186" spans="2:12" x14ac:dyDescent="0.25">
      <c r="B186" s="43" t="s">
        <v>425</v>
      </c>
      <c r="C186" s="30">
        <v>29010.635539153565</v>
      </c>
      <c r="D186" s="31">
        <v>5.8525792369999996</v>
      </c>
      <c r="E186" s="22">
        <v>29010.6355</v>
      </c>
      <c r="F186" s="23">
        <v>0.84511285800000002</v>
      </c>
      <c r="G186" s="24">
        <f t="shared" si="8"/>
        <v>-1.3496279652178409E-9</v>
      </c>
      <c r="H186" s="25">
        <f t="shared" si="10"/>
        <v>1</v>
      </c>
      <c r="I186" s="26">
        <v>34727.165300000001</v>
      </c>
      <c r="J186" s="27">
        <v>4.2120339999999999E-3</v>
      </c>
      <c r="K186" s="28">
        <f t="shared" si="9"/>
        <v>0.19704944943833605</v>
      </c>
      <c r="L186" s="29">
        <f t="shared" si="11"/>
        <v>0</v>
      </c>
    </row>
    <row r="187" spans="2:12" x14ac:dyDescent="0.25">
      <c r="B187" s="43" t="s">
        <v>426</v>
      </c>
      <c r="C187" s="30">
        <v>37175.985700976693</v>
      </c>
      <c r="D187" s="31">
        <v>4.3926947270000003</v>
      </c>
      <c r="E187" s="22">
        <v>37175.985699999997</v>
      </c>
      <c r="F187" s="23">
        <v>0.78573016100000004</v>
      </c>
      <c r="G187" s="24">
        <f t="shared" si="8"/>
        <v>-2.6272213846689381E-11</v>
      </c>
      <c r="H187" s="25">
        <f t="shared" si="10"/>
        <v>1</v>
      </c>
      <c r="I187" s="26">
        <v>47265.760600000001</v>
      </c>
      <c r="J187" s="27">
        <v>5.0286339999999997E-3</v>
      </c>
      <c r="K187" s="28">
        <f t="shared" si="9"/>
        <v>0.27140571282171083</v>
      </c>
      <c r="L187" s="29">
        <f t="shared" si="11"/>
        <v>0</v>
      </c>
    </row>
    <row r="188" spans="2:12" x14ac:dyDescent="0.25">
      <c r="B188" s="43" t="s">
        <v>427</v>
      </c>
      <c r="C188" s="30">
        <v>51732.919310160803</v>
      </c>
      <c r="D188" s="31">
        <v>8.494571144</v>
      </c>
      <c r="E188" s="22">
        <v>51732.919300000001</v>
      </c>
      <c r="F188" s="23">
        <v>0.78771317799999996</v>
      </c>
      <c r="G188" s="24">
        <f t="shared" si="8"/>
        <v>-1.9640882795947959E-10</v>
      </c>
      <c r="H188" s="25">
        <f t="shared" si="10"/>
        <v>1</v>
      </c>
      <c r="I188" s="26">
        <v>56943.869700000003</v>
      </c>
      <c r="J188" s="27">
        <v>4.9252100000000002E-3</v>
      </c>
      <c r="K188" s="28">
        <f t="shared" si="9"/>
        <v>0.10072793995245737</v>
      </c>
      <c r="L188" s="29">
        <f t="shared" si="11"/>
        <v>0</v>
      </c>
    </row>
    <row r="189" spans="2:12" x14ac:dyDescent="0.25">
      <c r="B189" s="43" t="s">
        <v>428</v>
      </c>
      <c r="C189" s="30">
        <v>57911.935844214328</v>
      </c>
      <c r="D189" s="31">
        <v>8.3536854950000006</v>
      </c>
      <c r="E189" s="22">
        <v>57911.935799999999</v>
      </c>
      <c r="F189" s="23">
        <v>0.78828267900000004</v>
      </c>
      <c r="G189" s="24">
        <f t="shared" si="8"/>
        <v>-7.6347522462446317E-10</v>
      </c>
      <c r="H189" s="25">
        <f t="shared" si="10"/>
        <v>1</v>
      </c>
      <c r="I189" s="26">
        <v>71830.936400000006</v>
      </c>
      <c r="J189" s="27">
        <v>4.969663E-3</v>
      </c>
      <c r="K189" s="28">
        <f t="shared" si="9"/>
        <v>0.2403476995351771</v>
      </c>
      <c r="L189" s="29">
        <f t="shared" si="11"/>
        <v>0</v>
      </c>
    </row>
    <row r="190" spans="2:12" x14ac:dyDescent="0.25">
      <c r="B190" s="43" t="s">
        <v>429</v>
      </c>
      <c r="C190" s="30">
        <v>40918.363521095001</v>
      </c>
      <c r="D190" s="31">
        <v>6.7500745210000002</v>
      </c>
      <c r="E190" s="22">
        <v>40918.363499999999</v>
      </c>
      <c r="F190" s="23">
        <v>1.1860789279999999</v>
      </c>
      <c r="G190" s="24">
        <f t="shared" si="8"/>
        <v>-5.1553875073685102E-10</v>
      </c>
      <c r="H190" s="25">
        <f t="shared" si="10"/>
        <v>1</v>
      </c>
      <c r="I190" s="26">
        <v>57274.522299999997</v>
      </c>
      <c r="J190" s="27">
        <v>1.5915997000000001E-2</v>
      </c>
      <c r="K190" s="28">
        <f t="shared" si="9"/>
        <v>0.39972661102325763</v>
      </c>
      <c r="L190" s="29">
        <f t="shared" si="11"/>
        <v>0</v>
      </c>
    </row>
    <row r="191" spans="2:12" x14ac:dyDescent="0.25">
      <c r="B191" s="43" t="s">
        <v>430</v>
      </c>
      <c r="C191" s="30">
        <v>30599.278568438534</v>
      </c>
      <c r="D191" s="31">
        <v>6.463804187</v>
      </c>
      <c r="E191" s="22">
        <v>30599.278600000001</v>
      </c>
      <c r="F191" s="23">
        <v>1.1349727979999999</v>
      </c>
      <c r="G191" s="24">
        <f t="shared" si="8"/>
        <v>1.0314448090426034E-9</v>
      </c>
      <c r="H191" s="25">
        <f t="shared" si="10"/>
        <v>1</v>
      </c>
      <c r="I191" s="26">
        <v>34113.821499999998</v>
      </c>
      <c r="J191" s="27">
        <v>5.2851180000000001E-3</v>
      </c>
      <c r="K191" s="28">
        <f t="shared" si="9"/>
        <v>0.11485705206091103</v>
      </c>
      <c r="L191" s="29">
        <f t="shared" si="11"/>
        <v>0</v>
      </c>
    </row>
    <row r="192" spans="2:12" x14ac:dyDescent="0.25">
      <c r="B192" s="43" t="s">
        <v>431</v>
      </c>
      <c r="C192" s="30">
        <v>29559.871082173082</v>
      </c>
      <c r="D192" s="31">
        <v>4.4376954270000004</v>
      </c>
      <c r="E192" s="22">
        <v>29559.8711</v>
      </c>
      <c r="F192" s="23">
        <v>1.1573654879999999</v>
      </c>
      <c r="G192" s="24">
        <f t="shared" si="8"/>
        <v>6.03078352013207E-10</v>
      </c>
      <c r="H192" s="25">
        <f t="shared" si="10"/>
        <v>1</v>
      </c>
      <c r="I192" s="26">
        <v>31023.5488</v>
      </c>
      <c r="J192" s="27">
        <v>1.5412587E-2</v>
      </c>
      <c r="K192" s="28">
        <f t="shared" si="9"/>
        <v>4.9515700314052821E-2</v>
      </c>
      <c r="L192" s="29">
        <f t="shared" si="11"/>
        <v>0</v>
      </c>
    </row>
    <row r="193" spans="2:12" x14ac:dyDescent="0.25">
      <c r="B193" s="43" t="s">
        <v>432</v>
      </c>
      <c r="C193" s="30">
        <v>34725.516531001194</v>
      </c>
      <c r="D193" s="31">
        <v>4.418274147</v>
      </c>
      <c r="E193" s="22">
        <v>34725.516499999998</v>
      </c>
      <c r="F193" s="23">
        <v>1.28704131</v>
      </c>
      <c r="G193" s="24">
        <f t="shared" si="8"/>
        <v>-8.9274975789123932E-10</v>
      </c>
      <c r="H193" s="25">
        <f t="shared" si="10"/>
        <v>1</v>
      </c>
      <c r="I193" s="26">
        <v>34725.516499999998</v>
      </c>
      <c r="J193" s="27">
        <v>5.4762889999999996E-3</v>
      </c>
      <c r="K193" s="28">
        <f t="shared" si="9"/>
        <v>-8.9274975789123932E-10</v>
      </c>
      <c r="L193" s="29">
        <f t="shared" si="11"/>
        <v>1</v>
      </c>
    </row>
    <row r="194" spans="2:12" x14ac:dyDescent="0.25">
      <c r="B194" s="43" t="s">
        <v>433</v>
      </c>
      <c r="C194" s="30">
        <v>32351.892327476478</v>
      </c>
      <c r="D194" s="31">
        <v>4.03223836</v>
      </c>
      <c r="E194" s="22">
        <v>32351.8923</v>
      </c>
      <c r="F194" s="23">
        <v>1.4279803129999999</v>
      </c>
      <c r="G194" s="24">
        <f t="shared" ref="G194:G249" si="12">(E194-C194)/C194</f>
        <v>-8.4930051647931675E-10</v>
      </c>
      <c r="H194" s="25">
        <f t="shared" si="10"/>
        <v>1</v>
      </c>
      <c r="I194" s="26">
        <v>41769.241900000001</v>
      </c>
      <c r="J194" s="27">
        <v>5.2760699999999999E-3</v>
      </c>
      <c r="K194" s="28">
        <f t="shared" ref="K194:K249" si="13">(I194-C194)/C194</f>
        <v>0.29109115093478977</v>
      </c>
      <c r="L194" s="29">
        <f t="shared" si="11"/>
        <v>0</v>
      </c>
    </row>
    <row r="195" spans="2:12" x14ac:dyDescent="0.25">
      <c r="B195" s="43" t="s">
        <v>434</v>
      </c>
      <c r="C195" s="30">
        <v>36891.801305337147</v>
      </c>
      <c r="D195" s="31">
        <v>8.1939135689999993</v>
      </c>
      <c r="E195" s="22">
        <v>36891.801299999999</v>
      </c>
      <c r="F195" s="23">
        <v>1.1241411189999999</v>
      </c>
      <c r="G195" s="24">
        <f t="shared" si="12"/>
        <v>-1.4467029398955021E-10</v>
      </c>
      <c r="H195" s="25">
        <f t="shared" ref="H195:H249" si="14">IF(G195&lt;0.000001,1,0)</f>
        <v>1</v>
      </c>
      <c r="I195" s="26">
        <v>41734.446100000001</v>
      </c>
      <c r="J195" s="27">
        <v>5.8529580000000001E-3</v>
      </c>
      <c r="K195" s="28">
        <f t="shared" si="13"/>
        <v>0.13126615191766924</v>
      </c>
      <c r="L195" s="29">
        <f t="shared" ref="L195:L249" si="15">IF(K195&lt;0.000001,1,0)</f>
        <v>0</v>
      </c>
    </row>
    <row r="196" spans="2:12" x14ac:dyDescent="0.25">
      <c r="B196" s="43" t="s">
        <v>435</v>
      </c>
      <c r="C196" s="30">
        <v>35470.294600810645</v>
      </c>
      <c r="D196" s="31">
        <v>4.2519778590000001</v>
      </c>
      <c r="E196" s="22">
        <v>35470.294600000001</v>
      </c>
      <c r="F196" s="23">
        <v>1.3047914039999999</v>
      </c>
      <c r="G196" s="24">
        <f t="shared" si="12"/>
        <v>-2.2854153052568828E-11</v>
      </c>
      <c r="H196" s="25">
        <f t="shared" si="14"/>
        <v>1</v>
      </c>
      <c r="I196" s="26">
        <v>42237.719899999996</v>
      </c>
      <c r="J196" s="27">
        <v>5.3735950000000001E-3</v>
      </c>
      <c r="K196" s="28">
        <f t="shared" si="13"/>
        <v>0.19079134738944875</v>
      </c>
      <c r="L196" s="29">
        <f t="shared" si="15"/>
        <v>0</v>
      </c>
    </row>
    <row r="197" spans="2:12" x14ac:dyDescent="0.25">
      <c r="B197" s="43" t="s">
        <v>436</v>
      </c>
      <c r="C197" s="30">
        <v>37465.66739615619</v>
      </c>
      <c r="D197" s="31">
        <v>5.292872537</v>
      </c>
      <c r="E197" s="22">
        <v>37465.667399999998</v>
      </c>
      <c r="F197" s="23">
        <v>1.0868026959999999</v>
      </c>
      <c r="G197" s="24">
        <f t="shared" si="12"/>
        <v>1.0259548645952335E-10</v>
      </c>
      <c r="H197" s="25">
        <f t="shared" si="14"/>
        <v>1</v>
      </c>
      <c r="I197" s="26">
        <v>41920.999100000001</v>
      </c>
      <c r="J197" s="27">
        <v>5.6461080000000004E-3</v>
      </c>
      <c r="K197" s="28">
        <f t="shared" si="13"/>
        <v>0.1189177189007157</v>
      </c>
      <c r="L197" s="29">
        <f t="shared" si="15"/>
        <v>0</v>
      </c>
    </row>
    <row r="198" spans="2:12" x14ac:dyDescent="0.25">
      <c r="B198" s="43" t="s">
        <v>437</v>
      </c>
      <c r="C198" s="30">
        <v>28345.509164576077</v>
      </c>
      <c r="D198" s="31">
        <v>4.8131234650000003</v>
      </c>
      <c r="E198" s="22">
        <v>28345.5092</v>
      </c>
      <c r="F198" s="23">
        <v>1.1845554739999999</v>
      </c>
      <c r="G198" s="24">
        <f t="shared" si="12"/>
        <v>1.249719081975037E-9</v>
      </c>
      <c r="H198" s="25">
        <f t="shared" si="14"/>
        <v>1</v>
      </c>
      <c r="I198" s="26">
        <v>34052.661699999997</v>
      </c>
      <c r="J198" s="27">
        <v>6.2796429999999997E-3</v>
      </c>
      <c r="K198" s="28">
        <f t="shared" si="13"/>
        <v>0.20134238909902022</v>
      </c>
      <c r="L198" s="29">
        <f t="shared" si="15"/>
        <v>0</v>
      </c>
    </row>
    <row r="199" spans="2:12" x14ac:dyDescent="0.25">
      <c r="B199" s="43" t="s">
        <v>438</v>
      </c>
      <c r="C199" s="30">
        <v>30617.925173803204</v>
      </c>
      <c r="D199" s="31">
        <v>4.3166810179999997</v>
      </c>
      <c r="E199" s="22">
        <v>30617.925200000001</v>
      </c>
      <c r="F199" s="23">
        <v>1.364453637</v>
      </c>
      <c r="G199" s="24">
        <f t="shared" si="12"/>
        <v>8.5560330560725682E-10</v>
      </c>
      <c r="H199" s="25">
        <f t="shared" si="14"/>
        <v>1</v>
      </c>
      <c r="I199" s="26">
        <v>40324.105000000003</v>
      </c>
      <c r="J199" s="27">
        <v>7.2370689999999996E-3</v>
      </c>
      <c r="K199" s="28">
        <f t="shared" si="13"/>
        <v>0.31700971803606859</v>
      </c>
      <c r="L199" s="29">
        <f t="shared" si="15"/>
        <v>0</v>
      </c>
    </row>
    <row r="200" spans="2:12" x14ac:dyDescent="0.25">
      <c r="B200" s="43" t="s">
        <v>439</v>
      </c>
      <c r="C200" s="30">
        <v>25376.387712376916</v>
      </c>
      <c r="D200" s="31">
        <v>4.3090444149999998</v>
      </c>
      <c r="E200" s="22">
        <v>25376.387699999999</v>
      </c>
      <c r="F200" s="23">
        <v>1.3803204899999999</v>
      </c>
      <c r="G200" s="24">
        <f t="shared" si="12"/>
        <v>-4.8773359695718907E-10</v>
      </c>
      <c r="H200" s="25">
        <f t="shared" si="14"/>
        <v>1</v>
      </c>
      <c r="I200" s="26">
        <v>34095.126300000004</v>
      </c>
      <c r="J200" s="27">
        <v>1.4374359999999999E-2</v>
      </c>
      <c r="K200" s="28">
        <f t="shared" si="13"/>
        <v>0.34357681977607341</v>
      </c>
      <c r="L200" s="29">
        <f t="shared" si="15"/>
        <v>0</v>
      </c>
    </row>
    <row r="201" spans="2:12" x14ac:dyDescent="0.25">
      <c r="B201" s="43" t="s">
        <v>440</v>
      </c>
      <c r="C201" s="30">
        <v>25478.024519486706</v>
      </c>
      <c r="D201" s="31">
        <v>4.4491860870000002</v>
      </c>
      <c r="E201" s="22">
        <v>25478.0245</v>
      </c>
      <c r="F201" s="23">
        <v>1.4888455270000001</v>
      </c>
      <c r="G201" s="24">
        <f t="shared" si="12"/>
        <v>-7.6484368464376929E-10</v>
      </c>
      <c r="H201" s="25">
        <f t="shared" si="14"/>
        <v>1</v>
      </c>
      <c r="I201" s="26">
        <v>32989.155299999999</v>
      </c>
      <c r="J201" s="27">
        <v>1.4051882E-2</v>
      </c>
      <c r="K201" s="28">
        <f t="shared" si="13"/>
        <v>0.29480820912031275</v>
      </c>
      <c r="L201" s="29">
        <f t="shared" si="15"/>
        <v>0</v>
      </c>
    </row>
    <row r="202" spans="2:12" x14ac:dyDescent="0.25">
      <c r="B202" s="43" t="s">
        <v>441</v>
      </c>
      <c r="C202" s="30">
        <v>26781.118925332343</v>
      </c>
      <c r="D202" s="31">
        <v>4.296648748</v>
      </c>
      <c r="E202" s="22">
        <v>26781.118900000001</v>
      </c>
      <c r="F202" s="23">
        <v>1.7861181699999999</v>
      </c>
      <c r="G202" s="24">
        <f t="shared" si="12"/>
        <v>-9.4590302727936395E-10</v>
      </c>
      <c r="H202" s="25">
        <f t="shared" si="14"/>
        <v>1</v>
      </c>
      <c r="I202" s="26">
        <v>43926.263500000001</v>
      </c>
      <c r="J202" s="27">
        <v>1.7369168000000001E-2</v>
      </c>
      <c r="K202" s="28">
        <f t="shared" si="13"/>
        <v>0.64019522942523555</v>
      </c>
      <c r="L202" s="29">
        <f t="shared" si="15"/>
        <v>0</v>
      </c>
    </row>
    <row r="203" spans="2:12" x14ac:dyDescent="0.25">
      <c r="B203" s="43" t="s">
        <v>442</v>
      </c>
      <c r="C203" s="30">
        <v>28772.717277557444</v>
      </c>
      <c r="D203" s="31">
        <v>4.4536361979999999</v>
      </c>
      <c r="E203" s="22">
        <v>28772.7173</v>
      </c>
      <c r="F203" s="23">
        <v>1.5946650490000001</v>
      </c>
      <c r="G203" s="24">
        <f t="shared" si="12"/>
        <v>7.7999434114059088E-10</v>
      </c>
      <c r="H203" s="25">
        <f t="shared" si="14"/>
        <v>1</v>
      </c>
      <c r="I203" s="26">
        <v>31675.073</v>
      </c>
      <c r="J203" s="27">
        <v>1.7564686999999999E-2</v>
      </c>
      <c r="K203" s="28">
        <f t="shared" si="13"/>
        <v>0.10087179790649727</v>
      </c>
      <c r="L203" s="29">
        <f t="shared" si="15"/>
        <v>0</v>
      </c>
    </row>
    <row r="204" spans="2:12" x14ac:dyDescent="0.25">
      <c r="B204" s="43" t="s">
        <v>443</v>
      </c>
      <c r="C204" s="30">
        <v>25748.194083238403</v>
      </c>
      <c r="D204" s="31">
        <v>4.3796993049999999</v>
      </c>
      <c r="E204" s="22">
        <v>25748.194100000001</v>
      </c>
      <c r="F204" s="23">
        <v>1.5608752770000001</v>
      </c>
      <c r="G204" s="24">
        <f t="shared" si="12"/>
        <v>6.5098150323692795E-10</v>
      </c>
      <c r="H204" s="25">
        <f t="shared" si="14"/>
        <v>1</v>
      </c>
      <c r="I204" s="26">
        <v>30867.721799999999</v>
      </c>
      <c r="J204" s="27">
        <v>1.3914332999999999E-2</v>
      </c>
      <c r="K204" s="28">
        <f t="shared" si="13"/>
        <v>0.19883055488129611</v>
      </c>
      <c r="L204" s="29">
        <f t="shared" si="15"/>
        <v>0</v>
      </c>
    </row>
    <row r="205" spans="2:12" x14ac:dyDescent="0.25">
      <c r="B205" s="43" t="s">
        <v>444</v>
      </c>
      <c r="C205" s="30">
        <v>31357.307985335894</v>
      </c>
      <c r="D205" s="31">
        <v>4.8537857720000002</v>
      </c>
      <c r="E205" s="22">
        <v>31357.308000000001</v>
      </c>
      <c r="F205" s="23">
        <v>1.4117273539999999</v>
      </c>
      <c r="G205" s="24">
        <f t="shared" si="12"/>
        <v>4.6764559201498926E-10</v>
      </c>
      <c r="H205" s="25">
        <f t="shared" si="14"/>
        <v>1</v>
      </c>
      <c r="I205" s="26">
        <v>48750.556299999997</v>
      </c>
      <c r="J205" s="27">
        <v>1.2010692999999999E-2</v>
      </c>
      <c r="K205" s="28">
        <f t="shared" si="13"/>
        <v>0.55467925763263792</v>
      </c>
      <c r="L205" s="29">
        <f t="shared" si="15"/>
        <v>0</v>
      </c>
    </row>
    <row r="206" spans="2:12" x14ac:dyDescent="0.25">
      <c r="B206" s="43" t="s">
        <v>445</v>
      </c>
      <c r="C206" s="30">
        <v>42509.955156478849</v>
      </c>
      <c r="D206" s="31">
        <v>5.639899142</v>
      </c>
      <c r="E206" s="22">
        <v>42509.955199999997</v>
      </c>
      <c r="F206" s="23">
        <v>1.8207263309999999</v>
      </c>
      <c r="G206" s="24">
        <f t="shared" si="12"/>
        <v>1.0237871949051636E-9</v>
      </c>
      <c r="H206" s="25">
        <f t="shared" si="14"/>
        <v>1</v>
      </c>
      <c r="I206" s="26">
        <v>71708.904899999994</v>
      </c>
      <c r="J206" s="27">
        <v>1.9886496E-2</v>
      </c>
      <c r="K206" s="28">
        <f t="shared" si="13"/>
        <v>0.68687321913278931</v>
      </c>
      <c r="L206" s="29">
        <f t="shared" si="15"/>
        <v>0</v>
      </c>
    </row>
    <row r="207" spans="2:12" x14ac:dyDescent="0.25">
      <c r="B207" s="43" t="s">
        <v>446</v>
      </c>
      <c r="C207" s="30">
        <v>26630.780968210405</v>
      </c>
      <c r="D207" s="31">
        <v>5.9831782660000004</v>
      </c>
      <c r="E207" s="22">
        <v>26630.780999999999</v>
      </c>
      <c r="F207" s="23">
        <v>1.684182319</v>
      </c>
      <c r="G207" s="24">
        <f t="shared" si="12"/>
        <v>1.1937161668247191E-9</v>
      </c>
      <c r="H207" s="25">
        <f t="shared" si="14"/>
        <v>1</v>
      </c>
      <c r="I207" s="26">
        <v>31249.473999999998</v>
      </c>
      <c r="J207" s="27">
        <v>6.9713379999999997E-3</v>
      </c>
      <c r="K207" s="28">
        <f t="shared" si="13"/>
        <v>0.17343438171426523</v>
      </c>
      <c r="L207" s="29">
        <f t="shared" si="15"/>
        <v>0</v>
      </c>
    </row>
    <row r="208" spans="2:12" x14ac:dyDescent="0.25">
      <c r="B208" s="43" t="s">
        <v>447</v>
      </c>
      <c r="C208" s="30">
        <v>37660.586537520197</v>
      </c>
      <c r="D208" s="31">
        <v>4.6661253709999997</v>
      </c>
      <c r="E208" s="22">
        <v>37660.586499999998</v>
      </c>
      <c r="F208" s="23">
        <v>1.3948185310000001</v>
      </c>
      <c r="G208" s="24">
        <f t="shared" si="12"/>
        <v>-9.9627231780129242E-10</v>
      </c>
      <c r="H208" s="25">
        <f t="shared" si="14"/>
        <v>1</v>
      </c>
      <c r="I208" s="26">
        <v>47591.1901</v>
      </c>
      <c r="J208" s="27">
        <v>6.4718459999999998E-3</v>
      </c>
      <c r="K208" s="28">
        <f t="shared" si="13"/>
        <v>0.26368690653785271</v>
      </c>
      <c r="L208" s="29">
        <f t="shared" si="15"/>
        <v>0</v>
      </c>
    </row>
    <row r="209" spans="2:12" x14ac:dyDescent="0.25">
      <c r="B209" s="43" t="s">
        <v>448</v>
      </c>
      <c r="C209" s="30">
        <v>34643.848425756994</v>
      </c>
      <c r="D209" s="31">
        <v>6.4431619070000004</v>
      </c>
      <c r="E209" s="22">
        <v>34643.848400000003</v>
      </c>
      <c r="F209" s="23">
        <v>1.33524248</v>
      </c>
      <c r="G209" s="24">
        <f t="shared" si="12"/>
        <v>-7.4347952055078641E-10</v>
      </c>
      <c r="H209" s="25">
        <f t="shared" si="14"/>
        <v>1</v>
      </c>
      <c r="I209" s="26">
        <v>47041.764000000003</v>
      </c>
      <c r="J209" s="27">
        <v>6.311283E-3</v>
      </c>
      <c r="K209" s="28">
        <f t="shared" si="13"/>
        <v>0.35786773518571946</v>
      </c>
      <c r="L209" s="29">
        <f t="shared" si="15"/>
        <v>0</v>
      </c>
    </row>
    <row r="210" spans="2:12" x14ac:dyDescent="0.25">
      <c r="B210" s="43" t="s">
        <v>449</v>
      </c>
      <c r="C210" s="30">
        <v>50649.040346628892</v>
      </c>
      <c r="D210" s="31">
        <v>4.6422598260000001</v>
      </c>
      <c r="E210" s="22">
        <v>50649.040300000001</v>
      </c>
      <c r="F210" s="23">
        <v>0.44923057700000002</v>
      </c>
      <c r="G210" s="24">
        <f t="shared" si="12"/>
        <v>-9.2062733710328638E-10</v>
      </c>
      <c r="H210" s="25">
        <f t="shared" si="14"/>
        <v>1</v>
      </c>
      <c r="I210" s="26">
        <v>50649.040300000001</v>
      </c>
      <c r="J210" s="27">
        <v>3.2067390000000001E-3</v>
      </c>
      <c r="K210" s="28">
        <f t="shared" si="13"/>
        <v>-9.2062733710328638E-10</v>
      </c>
      <c r="L210" s="29">
        <f t="shared" si="15"/>
        <v>1</v>
      </c>
    </row>
    <row r="211" spans="2:12" x14ac:dyDescent="0.25">
      <c r="B211" s="43" t="s">
        <v>450</v>
      </c>
      <c r="C211" s="30">
        <v>54177.402341498004</v>
      </c>
      <c r="D211" s="31">
        <v>6.1193726079999999</v>
      </c>
      <c r="E211" s="22">
        <v>54177.402300000002</v>
      </c>
      <c r="F211" s="23">
        <v>0.427540849</v>
      </c>
      <c r="G211" s="24">
        <f t="shared" si="12"/>
        <v>-7.6596515250727553E-10</v>
      </c>
      <c r="H211" s="25">
        <f t="shared" si="14"/>
        <v>1</v>
      </c>
      <c r="I211" s="26">
        <v>57770.770499999999</v>
      </c>
      <c r="J211" s="27">
        <v>3.35644E-3</v>
      </c>
      <c r="K211" s="28">
        <f t="shared" si="13"/>
        <v>6.6325958853689818E-2</v>
      </c>
      <c r="L211" s="29">
        <f t="shared" si="15"/>
        <v>0</v>
      </c>
    </row>
    <row r="212" spans="2:12" x14ac:dyDescent="0.25">
      <c r="B212" s="43" t="s">
        <v>451</v>
      </c>
      <c r="C212" s="30">
        <v>50946.043925892045</v>
      </c>
      <c r="D212" s="31">
        <v>5.4383978669999999</v>
      </c>
      <c r="E212" s="22">
        <v>50946.043899999997</v>
      </c>
      <c r="F212" s="23">
        <v>0.46264850800000001</v>
      </c>
      <c r="G212" s="24">
        <f t="shared" si="12"/>
        <v>-5.0822490124088749E-10</v>
      </c>
      <c r="H212" s="25">
        <f t="shared" si="14"/>
        <v>1</v>
      </c>
      <c r="I212" s="26">
        <v>61005.806600000004</v>
      </c>
      <c r="J212" s="27">
        <v>3.1846370000000001E-3</v>
      </c>
      <c r="K212" s="28">
        <f t="shared" si="13"/>
        <v>0.19745915283905563</v>
      </c>
      <c r="L212" s="29">
        <f t="shared" si="15"/>
        <v>0</v>
      </c>
    </row>
    <row r="213" spans="2:12" x14ac:dyDescent="0.25">
      <c r="B213" s="43" t="s">
        <v>452</v>
      </c>
      <c r="C213" s="30">
        <v>49002.578623198082</v>
      </c>
      <c r="D213" s="31">
        <v>4.4749164080000003</v>
      </c>
      <c r="E213" s="22">
        <v>49002.578600000001</v>
      </c>
      <c r="F213" s="23">
        <v>0.43348435899999999</v>
      </c>
      <c r="G213" s="24">
        <f t="shared" si="12"/>
        <v>-4.7340531523521102E-10</v>
      </c>
      <c r="H213" s="25">
        <f t="shared" si="14"/>
        <v>1</v>
      </c>
      <c r="I213" s="26">
        <v>49002.578600000001</v>
      </c>
      <c r="J213" s="27">
        <v>3.4481540000000001E-3</v>
      </c>
      <c r="K213" s="28">
        <f t="shared" si="13"/>
        <v>-4.7340531523521102E-10</v>
      </c>
      <c r="L213" s="29">
        <f t="shared" si="15"/>
        <v>1</v>
      </c>
    </row>
    <row r="214" spans="2:12" x14ac:dyDescent="0.25">
      <c r="B214" s="43" t="s">
        <v>453</v>
      </c>
      <c r="C214" s="30">
        <v>39938.532325418208</v>
      </c>
      <c r="D214" s="31">
        <v>5.9897217449999998</v>
      </c>
      <c r="E214" s="22">
        <v>39938.532299999999</v>
      </c>
      <c r="F214" s="23">
        <v>0.486548441</v>
      </c>
      <c r="G214" s="24">
        <f t="shared" si="12"/>
        <v>-6.3643321872915509E-10</v>
      </c>
      <c r="H214" s="25">
        <f t="shared" si="14"/>
        <v>1</v>
      </c>
      <c r="I214" s="26">
        <v>45619.13</v>
      </c>
      <c r="J214" s="27">
        <v>3.5458569999999999E-3</v>
      </c>
      <c r="K214" s="28">
        <f t="shared" si="13"/>
        <v>0.14223351094367753</v>
      </c>
      <c r="L214" s="29">
        <f t="shared" si="15"/>
        <v>0</v>
      </c>
    </row>
    <row r="215" spans="2:12" x14ac:dyDescent="0.25">
      <c r="B215" s="43" t="s">
        <v>454</v>
      </c>
      <c r="C215" s="30">
        <v>62926.260691795986</v>
      </c>
      <c r="D215" s="31">
        <v>4.1389389369999998</v>
      </c>
      <c r="E215" s="22">
        <v>62926.260699999999</v>
      </c>
      <c r="F215" s="23">
        <v>0.47756944299999998</v>
      </c>
      <c r="G215" s="24">
        <f t="shared" si="12"/>
        <v>1.3037503251642816E-10</v>
      </c>
      <c r="H215" s="25">
        <f t="shared" si="14"/>
        <v>1</v>
      </c>
      <c r="I215" s="26">
        <v>72787.753700000001</v>
      </c>
      <c r="J215" s="27">
        <v>3.2921199999999999E-3</v>
      </c>
      <c r="K215" s="28">
        <f t="shared" si="13"/>
        <v>0.15671506458176862</v>
      </c>
      <c r="L215" s="29">
        <f t="shared" si="15"/>
        <v>0</v>
      </c>
    </row>
    <row r="216" spans="2:12" x14ac:dyDescent="0.25">
      <c r="B216" s="43" t="s">
        <v>455</v>
      </c>
      <c r="C216" s="30">
        <v>40268.918229570008</v>
      </c>
      <c r="D216" s="31">
        <v>5.0485149949999997</v>
      </c>
      <c r="E216" s="22">
        <v>40268.9182</v>
      </c>
      <c r="F216" s="23">
        <v>0.35722338799999998</v>
      </c>
      <c r="G216" s="24">
        <f t="shared" si="12"/>
        <v>-7.3431345159201206E-10</v>
      </c>
      <c r="H216" s="25">
        <f t="shared" si="14"/>
        <v>1</v>
      </c>
      <c r="I216" s="26">
        <v>40268.9182</v>
      </c>
      <c r="J216" s="27">
        <v>3.237396E-3</v>
      </c>
      <c r="K216" s="28">
        <f t="shared" si="13"/>
        <v>-7.3431345159201206E-10</v>
      </c>
      <c r="L216" s="29">
        <f t="shared" si="15"/>
        <v>1</v>
      </c>
    </row>
    <row r="217" spans="2:12" x14ac:dyDescent="0.25">
      <c r="B217" s="43" t="s">
        <v>456</v>
      </c>
      <c r="C217" s="30">
        <v>52699.565697165628</v>
      </c>
      <c r="D217" s="31">
        <v>5.335121204</v>
      </c>
      <c r="E217" s="22">
        <v>52699.565699999999</v>
      </c>
      <c r="F217" s="23">
        <v>0.37296770200000001</v>
      </c>
      <c r="G217" s="24">
        <f t="shared" si="12"/>
        <v>5.3783576372631072E-11</v>
      </c>
      <c r="H217" s="25">
        <f t="shared" si="14"/>
        <v>1</v>
      </c>
      <c r="I217" s="26">
        <v>57795.300199999998</v>
      </c>
      <c r="J217" s="27">
        <v>3.6050489999999999E-3</v>
      </c>
      <c r="K217" s="28">
        <f t="shared" si="13"/>
        <v>9.6694051182824772E-2</v>
      </c>
      <c r="L217" s="29">
        <f t="shared" si="15"/>
        <v>0</v>
      </c>
    </row>
    <row r="218" spans="2:12" x14ac:dyDescent="0.25">
      <c r="B218" s="43" t="s">
        <v>457</v>
      </c>
      <c r="C218" s="30">
        <v>48346.302554191599</v>
      </c>
      <c r="D218" s="31">
        <v>5.018019969</v>
      </c>
      <c r="E218" s="22">
        <v>48346.302600000003</v>
      </c>
      <c r="F218" s="23">
        <v>0.47280578000000001</v>
      </c>
      <c r="G218" s="24">
        <f t="shared" si="12"/>
        <v>9.475058237913519E-10</v>
      </c>
      <c r="H218" s="25">
        <f t="shared" si="14"/>
        <v>1</v>
      </c>
      <c r="I218" s="26">
        <v>50658.340900000003</v>
      </c>
      <c r="J218" s="27">
        <v>3.608506E-3</v>
      </c>
      <c r="K218" s="28">
        <f t="shared" si="13"/>
        <v>4.7822443985593904E-2</v>
      </c>
      <c r="L218" s="29">
        <f t="shared" si="15"/>
        <v>0</v>
      </c>
    </row>
    <row r="219" spans="2:12" x14ac:dyDescent="0.25">
      <c r="B219" s="43" t="s">
        <v>458</v>
      </c>
      <c r="C219" s="30">
        <v>58560.606672056099</v>
      </c>
      <c r="D219" s="31">
        <v>11.221524539000001</v>
      </c>
      <c r="E219" s="22">
        <v>58560.606699999997</v>
      </c>
      <c r="F219" s="23">
        <v>0.45399049299999999</v>
      </c>
      <c r="G219" s="24">
        <f t="shared" si="12"/>
        <v>4.7717909499074271E-10</v>
      </c>
      <c r="H219" s="25">
        <f t="shared" si="14"/>
        <v>1</v>
      </c>
      <c r="I219" s="26">
        <v>59751.237099999998</v>
      </c>
      <c r="J219" s="27">
        <v>3.1798870000000002E-3</v>
      </c>
      <c r="K219" s="28">
        <f t="shared" si="13"/>
        <v>2.03315931238814E-2</v>
      </c>
      <c r="L219" s="29">
        <f t="shared" si="15"/>
        <v>0</v>
      </c>
    </row>
    <row r="220" spans="2:12" x14ac:dyDescent="0.25">
      <c r="B220" s="43" t="s">
        <v>459</v>
      </c>
      <c r="C220" s="30">
        <v>53574.192155848992</v>
      </c>
      <c r="D220" s="31">
        <v>4.6893647789999999</v>
      </c>
      <c r="E220" s="22">
        <v>53574.192199999998</v>
      </c>
      <c r="F220" s="23">
        <v>0.761451235</v>
      </c>
      <c r="G220" s="24">
        <f t="shared" si="12"/>
        <v>8.2410959066906958E-10</v>
      </c>
      <c r="H220" s="25">
        <f t="shared" si="14"/>
        <v>1</v>
      </c>
      <c r="I220" s="26">
        <v>60069.291499999999</v>
      </c>
      <c r="J220" s="27">
        <v>5.3991129999999997E-3</v>
      </c>
      <c r="K220" s="28">
        <f t="shared" si="13"/>
        <v>0.1212356002542523</v>
      </c>
      <c r="L220" s="29">
        <f t="shared" si="15"/>
        <v>0</v>
      </c>
    </row>
    <row r="221" spans="2:12" x14ac:dyDescent="0.25">
      <c r="B221" s="43" t="s">
        <v>460</v>
      </c>
      <c r="C221" s="30">
        <v>29513.913760379401</v>
      </c>
      <c r="D221" s="31">
        <v>4.5221858050000003</v>
      </c>
      <c r="E221" s="22">
        <v>29513.913799999998</v>
      </c>
      <c r="F221" s="23">
        <v>0.83531307799999999</v>
      </c>
      <c r="G221" s="24">
        <f t="shared" si="12"/>
        <v>1.3424379477211326E-9</v>
      </c>
      <c r="H221" s="25">
        <f t="shared" si="14"/>
        <v>1</v>
      </c>
      <c r="I221" s="26">
        <v>31249.015899999999</v>
      </c>
      <c r="J221" s="27">
        <v>7.2225609999999997E-3</v>
      </c>
      <c r="K221" s="28">
        <f t="shared" si="13"/>
        <v>5.8789293541606294E-2</v>
      </c>
      <c r="L221" s="29">
        <f t="shared" si="15"/>
        <v>0</v>
      </c>
    </row>
    <row r="222" spans="2:12" x14ac:dyDescent="0.25">
      <c r="B222" s="43" t="s">
        <v>461</v>
      </c>
      <c r="C222" s="30">
        <v>46570.438299678906</v>
      </c>
      <c r="D222" s="31">
        <v>6.2889921329999998</v>
      </c>
      <c r="E222" s="22">
        <v>46570.438300000002</v>
      </c>
      <c r="F222" s="23">
        <v>0.73589064100000001</v>
      </c>
      <c r="G222" s="24">
        <f t="shared" si="12"/>
        <v>6.8948306521251409E-12</v>
      </c>
      <c r="H222" s="25">
        <f t="shared" si="14"/>
        <v>1</v>
      </c>
      <c r="I222" s="26">
        <v>53995.295899999997</v>
      </c>
      <c r="J222" s="27">
        <v>6.734121E-3</v>
      </c>
      <c r="K222" s="28">
        <f t="shared" si="13"/>
        <v>0.15943284777657513</v>
      </c>
      <c r="L222" s="29">
        <f t="shared" si="15"/>
        <v>0</v>
      </c>
    </row>
    <row r="223" spans="2:12" x14ac:dyDescent="0.25">
      <c r="B223" s="43" t="s">
        <v>462</v>
      </c>
      <c r="C223" s="30">
        <v>54567.248976835202</v>
      </c>
      <c r="D223" s="31">
        <v>9.8092116259999997</v>
      </c>
      <c r="E223" s="22">
        <v>54567.249000000003</v>
      </c>
      <c r="F223" s="23">
        <v>0.70078683900000005</v>
      </c>
      <c r="G223" s="24">
        <f t="shared" si="12"/>
        <v>4.2451839491046926E-10</v>
      </c>
      <c r="H223" s="25">
        <f t="shared" si="14"/>
        <v>1</v>
      </c>
      <c r="I223" s="26">
        <v>55066.786</v>
      </c>
      <c r="J223" s="27">
        <v>4.3660340000000004E-3</v>
      </c>
      <c r="K223" s="28">
        <f t="shared" si="13"/>
        <v>9.1545209357514097E-3</v>
      </c>
      <c r="L223" s="29">
        <f t="shared" si="15"/>
        <v>0</v>
      </c>
    </row>
    <row r="224" spans="2:12" x14ac:dyDescent="0.25">
      <c r="B224" s="43" t="s">
        <v>463</v>
      </c>
      <c r="C224" s="30">
        <v>36136.165866813346</v>
      </c>
      <c r="D224" s="31">
        <v>7.0531055839999999</v>
      </c>
      <c r="E224" s="22">
        <v>36136.1659</v>
      </c>
      <c r="F224" s="23">
        <v>0.74081280299999996</v>
      </c>
      <c r="G224" s="24">
        <f t="shared" si="12"/>
        <v>9.1837784226236532E-10</v>
      </c>
      <c r="H224" s="25">
        <f t="shared" si="14"/>
        <v>1</v>
      </c>
      <c r="I224" s="26">
        <v>48917.889000000003</v>
      </c>
      <c r="J224" s="27">
        <v>5.0112409999999996E-3</v>
      </c>
      <c r="K224" s="28">
        <f t="shared" si="13"/>
        <v>0.35370999735545017</v>
      </c>
      <c r="L224" s="29">
        <f t="shared" si="15"/>
        <v>0</v>
      </c>
    </row>
    <row r="225" spans="2:12" x14ac:dyDescent="0.25">
      <c r="B225" s="43" t="s">
        <v>464</v>
      </c>
      <c r="C225" s="30">
        <v>60178.757894222006</v>
      </c>
      <c r="D225" s="31">
        <v>7.6782499890000002</v>
      </c>
      <c r="E225" s="22">
        <v>60178.757899999997</v>
      </c>
      <c r="F225" s="23">
        <v>0.77558818799999996</v>
      </c>
      <c r="G225" s="24">
        <f t="shared" si="12"/>
        <v>9.6013791887979859E-11</v>
      </c>
      <c r="H225" s="25">
        <f t="shared" si="14"/>
        <v>1</v>
      </c>
      <c r="I225" s="26">
        <v>75069.883300000001</v>
      </c>
      <c r="J225" s="27">
        <v>5.3186609999999997E-3</v>
      </c>
      <c r="K225" s="28">
        <f t="shared" si="13"/>
        <v>0.24744820143932797</v>
      </c>
      <c r="L225" s="29">
        <f t="shared" si="15"/>
        <v>0</v>
      </c>
    </row>
    <row r="226" spans="2:12" x14ac:dyDescent="0.25">
      <c r="B226" s="43" t="s">
        <v>465</v>
      </c>
      <c r="C226" s="30">
        <v>53180.316494165789</v>
      </c>
      <c r="D226" s="31">
        <v>5.6957487269999998</v>
      </c>
      <c r="E226" s="22">
        <v>53180.316500000001</v>
      </c>
      <c r="F226" s="23">
        <v>0.71568311900000003</v>
      </c>
      <c r="G226" s="24">
        <f t="shared" si="12"/>
        <v>1.0970623053094844E-10</v>
      </c>
      <c r="H226" s="25">
        <f t="shared" si="14"/>
        <v>1</v>
      </c>
      <c r="I226" s="26">
        <v>68229.340299999996</v>
      </c>
      <c r="J226" s="27">
        <v>4.5137720000000001E-3</v>
      </c>
      <c r="K226" s="28">
        <f t="shared" si="13"/>
        <v>0.28298108770159686</v>
      </c>
      <c r="L226" s="29">
        <f t="shared" si="15"/>
        <v>0</v>
      </c>
    </row>
    <row r="227" spans="2:12" x14ac:dyDescent="0.25">
      <c r="B227" s="43" t="s">
        <v>466</v>
      </c>
      <c r="C227" s="30">
        <v>47315.205059925298</v>
      </c>
      <c r="D227" s="31">
        <v>5.628573115</v>
      </c>
      <c r="E227" s="22">
        <v>47315.205099999999</v>
      </c>
      <c r="F227" s="23">
        <v>0.95546777500000002</v>
      </c>
      <c r="G227" s="24">
        <f t="shared" si="12"/>
        <v>8.4697300150310489E-10</v>
      </c>
      <c r="H227" s="25">
        <f t="shared" si="14"/>
        <v>1</v>
      </c>
      <c r="I227" s="26">
        <v>47315.205099999999</v>
      </c>
      <c r="J227" s="27">
        <v>5.1685079999999996E-3</v>
      </c>
      <c r="K227" s="28">
        <f t="shared" si="13"/>
        <v>8.4697300150310489E-10</v>
      </c>
      <c r="L227" s="29">
        <f t="shared" si="15"/>
        <v>1</v>
      </c>
    </row>
    <row r="228" spans="2:12" x14ac:dyDescent="0.25">
      <c r="B228" s="43" t="s">
        <v>467</v>
      </c>
      <c r="C228" s="30">
        <v>40925.420773014186</v>
      </c>
      <c r="D228" s="31">
        <v>5.0380437709999999</v>
      </c>
      <c r="E228" s="22">
        <v>40925.4208</v>
      </c>
      <c r="F228" s="23">
        <v>0.65973281299999997</v>
      </c>
      <c r="G228" s="24">
        <f t="shared" si="12"/>
        <v>6.5939001328373175E-10</v>
      </c>
      <c r="H228" s="25">
        <f t="shared" si="14"/>
        <v>1</v>
      </c>
      <c r="I228" s="26">
        <v>44860.340600000003</v>
      </c>
      <c r="J228" s="27">
        <v>5.3320160000000002E-3</v>
      </c>
      <c r="K228" s="28">
        <f t="shared" si="13"/>
        <v>9.6148549059768343E-2</v>
      </c>
      <c r="L228" s="29">
        <f t="shared" si="15"/>
        <v>0</v>
      </c>
    </row>
    <row r="229" spans="2:12" x14ac:dyDescent="0.25">
      <c r="B229" s="43" t="s">
        <v>468</v>
      </c>
      <c r="C229" s="30">
        <v>37996.676169253449</v>
      </c>
      <c r="D229" s="31">
        <v>7.9542026989999997</v>
      </c>
      <c r="E229" s="22">
        <v>37996.676200000002</v>
      </c>
      <c r="F229" s="23">
        <v>0.76417318300000003</v>
      </c>
      <c r="G229" s="24">
        <f t="shared" si="12"/>
        <v>8.0919058220145504E-10</v>
      </c>
      <c r="H229" s="25">
        <f t="shared" si="14"/>
        <v>1</v>
      </c>
      <c r="I229" s="26">
        <v>48981.097399999999</v>
      </c>
      <c r="J229" s="27">
        <v>4.4372880000000002E-3</v>
      </c>
      <c r="K229" s="28">
        <f t="shared" si="13"/>
        <v>0.28908900299113632</v>
      </c>
      <c r="L229" s="29">
        <f t="shared" si="15"/>
        <v>0</v>
      </c>
    </row>
    <row r="230" spans="2:12" x14ac:dyDescent="0.25">
      <c r="B230" s="43" t="s">
        <v>469</v>
      </c>
      <c r="C230" s="30">
        <v>29516.726271485048</v>
      </c>
      <c r="D230" s="31">
        <v>4.1280274930000003</v>
      </c>
      <c r="E230" s="22">
        <v>29516.726299999998</v>
      </c>
      <c r="F230" s="23">
        <v>1.22078883</v>
      </c>
      <c r="G230" s="24">
        <f t="shared" si="12"/>
        <v>9.6606075365400346E-10</v>
      </c>
      <c r="H230" s="25">
        <f t="shared" si="14"/>
        <v>1</v>
      </c>
      <c r="I230" s="26">
        <v>39854.695</v>
      </c>
      <c r="J230" s="27">
        <v>5.7088979999999996E-3</v>
      </c>
      <c r="K230" s="28">
        <f t="shared" si="13"/>
        <v>0.35024103396256578</v>
      </c>
      <c r="L230" s="29">
        <f t="shared" si="15"/>
        <v>0</v>
      </c>
    </row>
    <row r="231" spans="2:12" x14ac:dyDescent="0.25">
      <c r="B231" s="43" t="s">
        <v>470</v>
      </c>
      <c r="C231" s="30">
        <v>39032.404082568704</v>
      </c>
      <c r="D231" s="31">
        <v>5.9326684519999997</v>
      </c>
      <c r="E231" s="22">
        <v>39032.4041</v>
      </c>
      <c r="F231" s="23">
        <v>1.066751327</v>
      </c>
      <c r="G231" s="24">
        <f t="shared" si="12"/>
        <v>4.4658523676308081E-10</v>
      </c>
      <c r="H231" s="25">
        <f t="shared" si="14"/>
        <v>1</v>
      </c>
      <c r="I231" s="26">
        <v>42817.897299999997</v>
      </c>
      <c r="J231" s="27">
        <v>5.8234030000000004E-3</v>
      </c>
      <c r="K231" s="28">
        <f t="shared" si="13"/>
        <v>9.69833477185649E-2</v>
      </c>
      <c r="L231" s="29">
        <f t="shared" si="15"/>
        <v>0</v>
      </c>
    </row>
    <row r="232" spans="2:12" x14ac:dyDescent="0.25">
      <c r="B232" s="43" t="s">
        <v>471</v>
      </c>
      <c r="C232" s="30">
        <v>30549.935028401047</v>
      </c>
      <c r="D232" s="31">
        <v>4.4003083079999996</v>
      </c>
      <c r="E232" s="22">
        <v>30549.935000000001</v>
      </c>
      <c r="F232" s="23">
        <v>1.1172966740000001</v>
      </c>
      <c r="G232" s="24">
        <f t="shared" si="12"/>
        <v>-9.2965977454211986E-10</v>
      </c>
      <c r="H232" s="25">
        <f t="shared" si="14"/>
        <v>1</v>
      </c>
      <c r="I232" s="26">
        <v>35359.174200000001</v>
      </c>
      <c r="J232" s="27">
        <v>5.571047E-3</v>
      </c>
      <c r="K232" s="28">
        <f t="shared" si="13"/>
        <v>0.15742223893857704</v>
      </c>
      <c r="L232" s="29">
        <f t="shared" si="15"/>
        <v>0</v>
      </c>
    </row>
    <row r="233" spans="2:12" x14ac:dyDescent="0.25">
      <c r="B233" s="43" t="s">
        <v>472</v>
      </c>
      <c r="C233" s="30">
        <v>35914.901951151034</v>
      </c>
      <c r="D233" s="31">
        <v>3.9816786319999999</v>
      </c>
      <c r="E233" s="22">
        <v>35914.902000000002</v>
      </c>
      <c r="F233" s="23">
        <v>1.4584686499999999</v>
      </c>
      <c r="G233" s="24">
        <f t="shared" si="12"/>
        <v>1.3601308942628488E-9</v>
      </c>
      <c r="H233" s="25">
        <f t="shared" si="14"/>
        <v>1</v>
      </c>
      <c r="I233" s="26">
        <v>47908.579100000003</v>
      </c>
      <c r="J233" s="27">
        <v>5.5923580000000004E-3</v>
      </c>
      <c r="K233" s="28">
        <f t="shared" si="13"/>
        <v>0.3339470943053649</v>
      </c>
      <c r="L233" s="29">
        <f t="shared" si="15"/>
        <v>0</v>
      </c>
    </row>
    <row r="234" spans="2:12" x14ac:dyDescent="0.25">
      <c r="B234" s="43" t="s">
        <v>473</v>
      </c>
      <c r="C234" s="30">
        <v>30928.741192504007</v>
      </c>
      <c r="D234" s="31">
        <v>8.7253803510000001</v>
      </c>
      <c r="E234" s="22">
        <v>30928.7412</v>
      </c>
      <c r="F234" s="23">
        <v>1.36723785</v>
      </c>
      <c r="G234" s="24">
        <f t="shared" si="12"/>
        <v>2.4236335516265719E-10</v>
      </c>
      <c r="H234" s="25">
        <f t="shared" si="14"/>
        <v>1</v>
      </c>
      <c r="I234" s="26">
        <v>36681.7304</v>
      </c>
      <c r="J234" s="27">
        <v>5.9031029999999998E-3</v>
      </c>
      <c r="K234" s="28">
        <f t="shared" si="13"/>
        <v>0.18600786794679852</v>
      </c>
      <c r="L234" s="29">
        <f t="shared" si="15"/>
        <v>0</v>
      </c>
    </row>
    <row r="235" spans="2:12" x14ac:dyDescent="0.25">
      <c r="B235" s="43" t="s">
        <v>474</v>
      </c>
      <c r="C235" s="30">
        <v>30915.376333048502</v>
      </c>
      <c r="D235" s="31">
        <v>4.8472112730000001</v>
      </c>
      <c r="E235" s="22">
        <v>30915.3763</v>
      </c>
      <c r="F235" s="23">
        <v>1.102302079</v>
      </c>
      <c r="G235" s="24">
        <f t="shared" si="12"/>
        <v>-1.0689988514185047E-9</v>
      </c>
      <c r="H235" s="25">
        <f t="shared" si="14"/>
        <v>1</v>
      </c>
      <c r="I235" s="26">
        <v>34293.1077</v>
      </c>
      <c r="J235" s="27">
        <v>6.2837209999999999E-3</v>
      </c>
      <c r="K235" s="28">
        <f t="shared" si="13"/>
        <v>0.10925732653432745</v>
      </c>
      <c r="L235" s="29">
        <f t="shared" si="15"/>
        <v>0</v>
      </c>
    </row>
    <row r="236" spans="2:12" x14ac:dyDescent="0.25">
      <c r="B236" s="43" t="s">
        <v>475</v>
      </c>
      <c r="C236" s="30">
        <v>35672.00601282571</v>
      </c>
      <c r="D236" s="31">
        <v>6.7968526599999999</v>
      </c>
      <c r="E236" s="22">
        <v>35672.006000000001</v>
      </c>
      <c r="F236" s="23">
        <v>1.3089200649999999</v>
      </c>
      <c r="G236" s="24">
        <f t="shared" si="12"/>
        <v>-3.5954548874278714E-10</v>
      </c>
      <c r="H236" s="25">
        <f t="shared" si="14"/>
        <v>1</v>
      </c>
      <c r="I236" s="26">
        <v>40081.906300000002</v>
      </c>
      <c r="J236" s="27">
        <v>1.2973177000000001E-2</v>
      </c>
      <c r="K236" s="28">
        <f t="shared" si="13"/>
        <v>0.12362355751983033</v>
      </c>
      <c r="L236" s="29">
        <f t="shared" si="15"/>
        <v>0</v>
      </c>
    </row>
    <row r="237" spans="2:12" x14ac:dyDescent="0.25">
      <c r="B237" s="43" t="s">
        <v>476</v>
      </c>
      <c r="C237" s="30">
        <v>41148.578689646107</v>
      </c>
      <c r="D237" s="31">
        <v>10.798098295000001</v>
      </c>
      <c r="E237" s="22">
        <v>41148.578699999998</v>
      </c>
      <c r="F237" s="23">
        <v>1.2754519070000001</v>
      </c>
      <c r="G237" s="24">
        <f t="shared" si="12"/>
        <v>2.5162209100557536E-10</v>
      </c>
      <c r="H237" s="25">
        <f t="shared" si="14"/>
        <v>1</v>
      </c>
      <c r="I237" s="26">
        <v>47513.015899999999</v>
      </c>
      <c r="J237" s="27">
        <v>1.3087312E-2</v>
      </c>
      <c r="K237" s="28">
        <f t="shared" si="13"/>
        <v>0.15466967300028092</v>
      </c>
      <c r="L237" s="29">
        <f t="shared" si="15"/>
        <v>0</v>
      </c>
    </row>
    <row r="238" spans="2:12" x14ac:dyDescent="0.25">
      <c r="B238" s="43" t="s">
        <v>477</v>
      </c>
      <c r="C238" s="30">
        <v>57888.838116423591</v>
      </c>
      <c r="D238" s="31">
        <v>4.0718841039999996</v>
      </c>
      <c r="E238" s="22">
        <v>57888.838100000001</v>
      </c>
      <c r="F238" s="23">
        <v>1.2272408779999999</v>
      </c>
      <c r="G238" s="24">
        <f t="shared" si="12"/>
        <v>-2.8370909445386656E-10</v>
      </c>
      <c r="H238" s="25">
        <f t="shared" si="14"/>
        <v>1</v>
      </c>
      <c r="I238" s="26">
        <v>82100.533100000001</v>
      </c>
      <c r="J238" s="27">
        <v>6.099363E-3</v>
      </c>
      <c r="K238" s="28">
        <f t="shared" si="13"/>
        <v>0.41824461798460816</v>
      </c>
      <c r="L238" s="29">
        <f t="shared" si="15"/>
        <v>0</v>
      </c>
    </row>
    <row r="239" spans="2:12" x14ac:dyDescent="0.25">
      <c r="B239" s="43" t="s">
        <v>478</v>
      </c>
      <c r="C239" s="30">
        <v>41433.785058945097</v>
      </c>
      <c r="D239" s="31">
        <v>6.653716062</v>
      </c>
      <c r="E239" s="22">
        <v>41433.785100000001</v>
      </c>
      <c r="F239" s="23">
        <v>1.1940535880000001</v>
      </c>
      <c r="G239" s="24">
        <f t="shared" si="12"/>
        <v>9.908557387600795E-10</v>
      </c>
      <c r="H239" s="25">
        <f t="shared" si="14"/>
        <v>1</v>
      </c>
      <c r="I239" s="26">
        <v>51267.13</v>
      </c>
      <c r="J239" s="27">
        <v>6.0313349999999996E-3</v>
      </c>
      <c r="K239" s="28">
        <f t="shared" si="13"/>
        <v>0.23732673534570045</v>
      </c>
      <c r="L239" s="29">
        <f t="shared" si="15"/>
        <v>0</v>
      </c>
    </row>
    <row r="240" spans="2:12" x14ac:dyDescent="0.25">
      <c r="B240" s="43" t="s">
        <v>479</v>
      </c>
      <c r="C240" s="30">
        <v>27372.312088005798</v>
      </c>
      <c r="D240" s="31">
        <v>4.1856882689999999</v>
      </c>
      <c r="E240" s="22">
        <v>27372.312099999999</v>
      </c>
      <c r="F240" s="23">
        <v>1.721992688</v>
      </c>
      <c r="G240" s="24">
        <f t="shared" si="12"/>
        <v>4.3818737151866202E-10</v>
      </c>
      <c r="H240" s="25">
        <f t="shared" si="14"/>
        <v>1</v>
      </c>
      <c r="I240" s="26">
        <v>34783.328300000001</v>
      </c>
      <c r="J240" s="27">
        <v>6.4518179999999998E-3</v>
      </c>
      <c r="K240" s="28">
        <f t="shared" si="13"/>
        <v>0.27074863782667513</v>
      </c>
      <c r="L240" s="29">
        <f t="shared" si="15"/>
        <v>0</v>
      </c>
    </row>
    <row r="241" spans="2:12" x14ac:dyDescent="0.25">
      <c r="B241" s="43" t="s">
        <v>480</v>
      </c>
      <c r="C241" s="30">
        <v>29417.771924673452</v>
      </c>
      <c r="D241" s="31">
        <v>4.3559658580000002</v>
      </c>
      <c r="E241" s="22">
        <v>29417.7719</v>
      </c>
      <c r="F241" s="23">
        <v>1.7988096849999999</v>
      </c>
      <c r="G241" s="24">
        <f t="shared" si="12"/>
        <v>-8.3872608146229647E-10</v>
      </c>
      <c r="H241" s="25">
        <f t="shared" si="14"/>
        <v>1</v>
      </c>
      <c r="I241" s="26">
        <v>40016.062700000002</v>
      </c>
      <c r="J241" s="27">
        <v>7.3132730000000003E-3</v>
      </c>
      <c r="K241" s="28">
        <f t="shared" si="13"/>
        <v>0.36026830320339409</v>
      </c>
      <c r="L241" s="29">
        <f t="shared" si="15"/>
        <v>0</v>
      </c>
    </row>
    <row r="242" spans="2:12" x14ac:dyDescent="0.25">
      <c r="B242" s="43" t="s">
        <v>481</v>
      </c>
      <c r="C242" s="30">
        <v>26625.594903293299</v>
      </c>
      <c r="D242" s="31">
        <v>6.240460712</v>
      </c>
      <c r="E242" s="22">
        <v>26625.5949</v>
      </c>
      <c r="F242" s="23">
        <v>1.5522909410000001</v>
      </c>
      <c r="G242" s="24">
        <f t="shared" si="12"/>
        <v>-1.2368919894467648E-10</v>
      </c>
      <c r="H242" s="25">
        <f t="shared" si="14"/>
        <v>1</v>
      </c>
      <c r="I242" s="26">
        <v>38674.9516</v>
      </c>
      <c r="J242" s="27">
        <v>7.1173429999999999E-3</v>
      </c>
      <c r="K242" s="28">
        <f t="shared" si="13"/>
        <v>0.45254788636539822</v>
      </c>
      <c r="L242" s="29">
        <f t="shared" si="15"/>
        <v>0</v>
      </c>
    </row>
    <row r="243" spans="2:12" x14ac:dyDescent="0.25">
      <c r="B243" s="43" t="s">
        <v>482</v>
      </c>
      <c r="C243" s="30">
        <v>33828.621972867077</v>
      </c>
      <c r="D243" s="31">
        <v>5.4085138949999996</v>
      </c>
      <c r="E243" s="22">
        <v>33828.622000000003</v>
      </c>
      <c r="F243" s="23">
        <v>1.576121364</v>
      </c>
      <c r="G243" s="24">
        <f t="shared" si="12"/>
        <v>8.0207010371051523E-10</v>
      </c>
      <c r="H243" s="25">
        <f t="shared" si="14"/>
        <v>1</v>
      </c>
      <c r="I243" s="26">
        <v>42070.133800000003</v>
      </c>
      <c r="J243" s="27">
        <v>7.0574000000000001E-3</v>
      </c>
      <c r="K243" s="28">
        <f t="shared" si="13"/>
        <v>0.24362540790881745</v>
      </c>
      <c r="L243" s="29">
        <f t="shared" si="15"/>
        <v>0</v>
      </c>
    </row>
    <row r="244" spans="2:12" x14ac:dyDescent="0.25">
      <c r="B244" s="43" t="s">
        <v>483</v>
      </c>
      <c r="C244" s="30">
        <v>22871.160773862401</v>
      </c>
      <c r="D244" s="31">
        <v>3.8343046869999999</v>
      </c>
      <c r="E244" s="22">
        <v>22871.160800000001</v>
      </c>
      <c r="F244" s="23">
        <v>1.5266455990000001</v>
      </c>
      <c r="G244" s="24">
        <f t="shared" si="12"/>
        <v>1.1428191623865116E-9</v>
      </c>
      <c r="H244" s="25">
        <f t="shared" si="14"/>
        <v>1</v>
      </c>
      <c r="I244" s="26">
        <v>25682.915799999999</v>
      </c>
      <c r="J244" s="27">
        <v>7.7674900000000002E-3</v>
      </c>
      <c r="K244" s="28">
        <f t="shared" si="13"/>
        <v>0.12293888595942737</v>
      </c>
      <c r="L244" s="29">
        <f t="shared" si="15"/>
        <v>0</v>
      </c>
    </row>
    <row r="245" spans="2:12" x14ac:dyDescent="0.25">
      <c r="B245" s="43" t="s">
        <v>484</v>
      </c>
      <c r="C245" s="30">
        <v>32413.848654885791</v>
      </c>
      <c r="D245" s="31">
        <v>3.5974981650000002</v>
      </c>
      <c r="E245" s="22">
        <v>32413.848699999999</v>
      </c>
      <c r="F245" s="23">
        <v>1.5990467349999999</v>
      </c>
      <c r="G245" s="24">
        <f t="shared" si="12"/>
        <v>1.3918189176244173E-9</v>
      </c>
      <c r="H245" s="25">
        <f t="shared" si="14"/>
        <v>1</v>
      </c>
      <c r="I245" s="26">
        <v>43903.8151</v>
      </c>
      <c r="J245" s="27">
        <v>6.9363519999999998E-3</v>
      </c>
      <c r="K245" s="28">
        <f t="shared" si="13"/>
        <v>0.35447708069008671</v>
      </c>
      <c r="L245" s="29">
        <f t="shared" si="15"/>
        <v>0</v>
      </c>
    </row>
    <row r="246" spans="2:12" x14ac:dyDescent="0.25">
      <c r="B246" s="43" t="s">
        <v>485</v>
      </c>
      <c r="C246" s="30">
        <v>27319.206919889792</v>
      </c>
      <c r="D246" s="31">
        <v>2.4849670430000002</v>
      </c>
      <c r="E246" s="22">
        <v>27319.206900000001</v>
      </c>
      <c r="F246" s="23">
        <v>1.4793871590000001</v>
      </c>
      <c r="G246" s="24">
        <f t="shared" si="12"/>
        <v>-7.2805153616281131E-10</v>
      </c>
      <c r="H246" s="25">
        <f t="shared" si="14"/>
        <v>1</v>
      </c>
      <c r="I246" s="26">
        <v>32075.544000000002</v>
      </c>
      <c r="J246" s="27">
        <v>7.0288770000000002E-3</v>
      </c>
      <c r="K246" s="28">
        <f t="shared" si="13"/>
        <v>0.17410231175661806</v>
      </c>
      <c r="L246" s="29">
        <f t="shared" si="15"/>
        <v>0</v>
      </c>
    </row>
    <row r="247" spans="2:12" x14ac:dyDescent="0.25">
      <c r="B247" s="43" t="s">
        <v>486</v>
      </c>
      <c r="C247" s="30">
        <v>19944.195513686544</v>
      </c>
      <c r="D247" s="31">
        <v>3.5536528719999998</v>
      </c>
      <c r="E247" s="22">
        <v>19944.195500000002</v>
      </c>
      <c r="F247" s="23">
        <v>1.416327761</v>
      </c>
      <c r="G247" s="24">
        <f t="shared" si="12"/>
        <v>-6.8624186541763753E-10</v>
      </c>
      <c r="H247" s="25">
        <f t="shared" si="14"/>
        <v>1</v>
      </c>
      <c r="I247" s="26">
        <v>21933.1005</v>
      </c>
      <c r="J247" s="27">
        <v>7.3601209999999999E-3</v>
      </c>
      <c r="K247" s="28">
        <f t="shared" si="13"/>
        <v>9.972350025091696E-2</v>
      </c>
      <c r="L247" s="29">
        <f t="shared" si="15"/>
        <v>0</v>
      </c>
    </row>
    <row r="248" spans="2:12" x14ac:dyDescent="0.25">
      <c r="B248" s="43" t="s">
        <v>487</v>
      </c>
      <c r="C248" s="30">
        <v>26867.528276760564</v>
      </c>
      <c r="D248" s="31">
        <v>5.2511104059999996</v>
      </c>
      <c r="E248" s="22">
        <v>26867.528300000002</v>
      </c>
      <c r="F248" s="23">
        <v>1.27093094</v>
      </c>
      <c r="G248" s="24">
        <f t="shared" si="12"/>
        <v>8.6496373928202356E-10</v>
      </c>
      <c r="H248" s="25">
        <f t="shared" si="14"/>
        <v>1</v>
      </c>
      <c r="I248" s="26">
        <v>42091.453999999998</v>
      </c>
      <c r="J248" s="27">
        <v>7.6435959999999999E-3</v>
      </c>
      <c r="K248" s="28">
        <f t="shared" si="13"/>
        <v>0.56662918771011683</v>
      </c>
      <c r="L248" s="29">
        <f t="shared" si="15"/>
        <v>0</v>
      </c>
    </row>
    <row r="249" spans="2:12" ht="15.75" thickBot="1" x14ac:dyDescent="0.3">
      <c r="B249" s="44" t="s">
        <v>488</v>
      </c>
      <c r="C249" s="45">
        <v>45496.38666759331</v>
      </c>
      <c r="D249" s="46">
        <v>4.067216664</v>
      </c>
      <c r="E249" s="22">
        <v>45496.386700000003</v>
      </c>
      <c r="F249" s="23">
        <v>1.1828601990000001</v>
      </c>
      <c r="G249" s="24">
        <f t="shared" si="12"/>
        <v>7.1229158141286785E-10</v>
      </c>
      <c r="H249" s="25">
        <f t="shared" si="14"/>
        <v>1</v>
      </c>
      <c r="I249" s="26">
        <v>55959.643499999998</v>
      </c>
      <c r="J249" s="27">
        <v>7.0302189999999999E-3</v>
      </c>
      <c r="K249" s="28">
        <f t="shared" si="13"/>
        <v>0.22997995222903225</v>
      </c>
      <c r="L249" s="29">
        <f t="shared" si="15"/>
        <v>0</v>
      </c>
    </row>
    <row r="250" spans="2:12" ht="15.75" thickBot="1" x14ac:dyDescent="0.3">
      <c r="C250" s="48">
        <f>AVERAGE(C130:C249)</f>
        <v>44832.167258552741</v>
      </c>
      <c r="D250" s="47">
        <f>AVERAGE(D130:D249)</f>
        <v>4.7736219648249989</v>
      </c>
      <c r="E250" s="35">
        <f>AVERAGE(E130:E249)</f>
        <v>44832.167260000009</v>
      </c>
      <c r="F250" s="35">
        <f>AVERAGE(F130:F249)</f>
        <v>1.1459465670416669</v>
      </c>
      <c r="G250" s="36">
        <f>AVERAGE(G130:G249)</f>
        <v>3.6492581590742652E-11</v>
      </c>
      <c r="H250" s="37">
        <f>SUM(H130:H249)</f>
        <v>120</v>
      </c>
      <c r="I250" s="38">
        <f>AVERAGE(I130:I249)</f>
        <v>52672.75754250001</v>
      </c>
      <c r="J250" s="38">
        <f>AVERAGE(J130:J249)</f>
        <v>7.5329277416666639E-3</v>
      </c>
      <c r="K250" s="39">
        <f>AVERAGE(K130:K249)</f>
        <v>0.18966308052345004</v>
      </c>
      <c r="L250" s="40">
        <f>SUM(L130:L249)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125A-85A3-4307-BB72-6AF8507300CB}">
  <dimension ref="B1:L249"/>
  <sheetViews>
    <sheetView topLeftCell="A173" workbookViewId="0">
      <selection activeCell="A250" sqref="A250"/>
    </sheetView>
  </sheetViews>
  <sheetFormatPr baseColWidth="10" defaultRowHeight="15" x14ac:dyDescent="0.25"/>
  <cols>
    <col min="2" max="2" width="29.7109375" bestFit="1" customWidth="1"/>
  </cols>
  <sheetData>
    <row r="1" spans="2:12" ht="15.75" thickBot="1" x14ac:dyDescent="0.3"/>
    <row r="2" spans="2:12" x14ac:dyDescent="0.25">
      <c r="B2" s="1" t="s">
        <v>489</v>
      </c>
      <c r="C2" s="2" t="s">
        <v>125</v>
      </c>
      <c r="D2" s="3"/>
      <c r="E2" s="4" t="s">
        <v>126</v>
      </c>
      <c r="F2" s="5"/>
      <c r="G2" s="5"/>
      <c r="H2" s="6"/>
      <c r="I2" s="7" t="s">
        <v>247</v>
      </c>
      <c r="J2" s="8"/>
      <c r="K2" s="8"/>
      <c r="L2" s="9"/>
    </row>
    <row r="3" spans="2:12" ht="15.75" thickBot="1" x14ac:dyDescent="0.3">
      <c r="B3" s="10"/>
      <c r="C3" s="41" t="s">
        <v>1</v>
      </c>
      <c r="D3" s="42" t="s">
        <v>2</v>
      </c>
      <c r="E3" s="13" t="s">
        <v>1</v>
      </c>
      <c r="F3" s="14" t="s">
        <v>2</v>
      </c>
      <c r="G3" s="14" t="s">
        <v>3</v>
      </c>
      <c r="H3" s="15" t="s">
        <v>4</v>
      </c>
      <c r="I3" s="16" t="s">
        <v>1</v>
      </c>
      <c r="J3" s="17" t="s">
        <v>2</v>
      </c>
      <c r="K3" s="17" t="s">
        <v>3</v>
      </c>
      <c r="L3" s="18" t="s">
        <v>4</v>
      </c>
    </row>
    <row r="4" spans="2:12" x14ac:dyDescent="0.25">
      <c r="B4" s="43" t="s">
        <v>490</v>
      </c>
      <c r="C4" s="30">
        <v>174139.17706490835</v>
      </c>
      <c r="D4" s="31">
        <v>1.2174807480000001</v>
      </c>
      <c r="E4" s="22">
        <v>174139.1771</v>
      </c>
      <c r="F4" s="23">
        <v>2.5720526850000001</v>
      </c>
      <c r="G4" s="24">
        <f t="shared" ref="G4:G67" si="0">(E4-C4)/C4</f>
        <v>2.01514978572697E-10</v>
      </c>
      <c r="H4" s="25">
        <f>IF(G4&lt;0.000001,1,0)</f>
        <v>1</v>
      </c>
      <c r="I4" s="26">
        <v>178525.7409</v>
      </c>
      <c r="J4" s="27">
        <v>1.4782841E-2</v>
      </c>
      <c r="K4" s="28">
        <f t="shared" ref="K4:K67" si="1">(I4-C4)/C4</f>
        <v>2.5189988312949333E-2</v>
      </c>
      <c r="L4" s="29">
        <f>IF(K4&lt;0.000001,1,0)</f>
        <v>0</v>
      </c>
    </row>
    <row r="5" spans="2:12" x14ac:dyDescent="0.25">
      <c r="B5" s="43" t="s">
        <v>491</v>
      </c>
      <c r="C5" s="30">
        <v>196308.1487841577</v>
      </c>
      <c r="D5" s="31">
        <v>8.9416018899999994</v>
      </c>
      <c r="E5" s="22">
        <v>196308.1488</v>
      </c>
      <c r="F5" s="23">
        <v>2.050957076</v>
      </c>
      <c r="G5" s="24">
        <f t="shared" si="0"/>
        <v>8.0701141839739795E-11</v>
      </c>
      <c r="H5" s="25">
        <f t="shared" ref="H5:H68" si="2">IF(G5&lt;0.000001,1,0)</f>
        <v>1</v>
      </c>
      <c r="I5" s="26">
        <v>215224.27059999999</v>
      </c>
      <c r="J5" s="27">
        <v>2.1460615999999998E-2</v>
      </c>
      <c r="K5" s="28">
        <f t="shared" si="1"/>
        <v>9.6359330639099988E-2</v>
      </c>
      <c r="L5" s="29">
        <f t="shared" ref="L5:L68" si="3">IF(K5&lt;0.000001,1,0)</f>
        <v>0</v>
      </c>
    </row>
    <row r="6" spans="2:12" x14ac:dyDescent="0.25">
      <c r="B6" s="43" t="s">
        <v>492</v>
      </c>
      <c r="C6" s="30">
        <v>208259.39764485968</v>
      </c>
      <c r="D6" s="31">
        <v>1.2326921319999999</v>
      </c>
      <c r="E6" s="22">
        <v>208259.3976</v>
      </c>
      <c r="F6" s="23">
        <v>2.2014609479999998</v>
      </c>
      <c r="G6" s="24">
        <f t="shared" si="0"/>
        <v>-2.1540292705591381E-10</v>
      </c>
      <c r="H6" s="25">
        <f t="shared" si="2"/>
        <v>1</v>
      </c>
      <c r="I6" s="26">
        <v>249477.2721</v>
      </c>
      <c r="J6" s="27">
        <v>4.1477185999999999E-2</v>
      </c>
      <c r="K6" s="28">
        <f t="shared" si="1"/>
        <v>0.19791603606492844</v>
      </c>
      <c r="L6" s="29">
        <f t="shared" si="3"/>
        <v>0</v>
      </c>
    </row>
    <row r="7" spans="2:12" x14ac:dyDescent="0.25">
      <c r="B7" s="43" t="s">
        <v>493</v>
      </c>
      <c r="C7" s="30">
        <v>127308.26478966713</v>
      </c>
      <c r="D7" s="31">
        <v>1.2292263059999999</v>
      </c>
      <c r="E7" s="22">
        <v>127308.2648</v>
      </c>
      <c r="F7" s="23">
        <v>2.2036456549999999</v>
      </c>
      <c r="G7" s="24">
        <f t="shared" si="0"/>
        <v>8.116423912679949E-11</v>
      </c>
      <c r="H7" s="25">
        <f t="shared" si="2"/>
        <v>1</v>
      </c>
      <c r="I7" s="26">
        <v>135901.41310000001</v>
      </c>
      <c r="J7" s="27">
        <v>1.4281884999999999E-2</v>
      </c>
      <c r="K7" s="28">
        <f t="shared" si="1"/>
        <v>6.7498746640919857E-2</v>
      </c>
      <c r="L7" s="29">
        <f t="shared" si="3"/>
        <v>0</v>
      </c>
    </row>
    <row r="8" spans="2:12" x14ac:dyDescent="0.25">
      <c r="B8" s="43" t="s">
        <v>494</v>
      </c>
      <c r="C8" s="30">
        <v>172659.45416991884</v>
      </c>
      <c r="D8" s="31">
        <v>1.11977383</v>
      </c>
      <c r="E8" s="22">
        <v>172659.45420000001</v>
      </c>
      <c r="F8" s="23">
        <v>2.2577284789999998</v>
      </c>
      <c r="G8" s="24">
        <f t="shared" si="0"/>
        <v>1.7422252567587516E-10</v>
      </c>
      <c r="H8" s="25">
        <f t="shared" si="2"/>
        <v>1</v>
      </c>
      <c r="I8" s="26">
        <v>172659.45420000001</v>
      </c>
      <c r="J8" s="27">
        <v>1.3941965000000001E-2</v>
      </c>
      <c r="K8" s="28">
        <f t="shared" si="1"/>
        <v>1.7422252567587516E-10</v>
      </c>
      <c r="L8" s="29">
        <f t="shared" si="3"/>
        <v>1</v>
      </c>
    </row>
    <row r="9" spans="2:12" x14ac:dyDescent="0.25">
      <c r="B9" s="43" t="s">
        <v>495</v>
      </c>
      <c r="C9" s="30">
        <v>242452.28963914388</v>
      </c>
      <c r="D9" s="31">
        <v>6.5481469910000003</v>
      </c>
      <c r="E9" s="22">
        <v>242452.28959999999</v>
      </c>
      <c r="F9" s="23">
        <v>2.4762287609999998</v>
      </c>
      <c r="G9" s="24">
        <f t="shared" si="0"/>
        <v>-1.614498890605452E-10</v>
      </c>
      <c r="H9" s="25">
        <f t="shared" si="2"/>
        <v>1</v>
      </c>
      <c r="I9" s="26">
        <v>285538.44780000002</v>
      </c>
      <c r="J9" s="27">
        <v>1.5895078999999999E-2</v>
      </c>
      <c r="K9" s="28">
        <f t="shared" si="1"/>
        <v>0.17770984231571424</v>
      </c>
      <c r="L9" s="29">
        <f t="shared" si="3"/>
        <v>0</v>
      </c>
    </row>
    <row r="10" spans="2:12" x14ac:dyDescent="0.25">
      <c r="B10" s="43" t="s">
        <v>496</v>
      </c>
      <c r="C10" s="30">
        <v>180068.6181533924</v>
      </c>
      <c r="D10" s="31">
        <v>1.117974037</v>
      </c>
      <c r="E10" s="22">
        <v>180068.6182</v>
      </c>
      <c r="F10" s="23">
        <v>2.2500081089999999</v>
      </c>
      <c r="G10" s="24">
        <f t="shared" si="0"/>
        <v>2.5883245046880873E-10</v>
      </c>
      <c r="H10" s="25">
        <f t="shared" si="2"/>
        <v>1</v>
      </c>
      <c r="I10" s="26">
        <v>194147.19190000001</v>
      </c>
      <c r="J10" s="27">
        <v>1.2116112E-2</v>
      </c>
      <c r="K10" s="28">
        <f t="shared" si="1"/>
        <v>7.8184493727911558E-2</v>
      </c>
      <c r="L10" s="29">
        <f t="shared" si="3"/>
        <v>0</v>
      </c>
    </row>
    <row r="11" spans="2:12" x14ac:dyDescent="0.25">
      <c r="B11" s="43" t="s">
        <v>497</v>
      </c>
      <c r="C11" s="30">
        <v>199659.98735861771</v>
      </c>
      <c r="D11" s="31">
        <v>2.7577602159999999</v>
      </c>
      <c r="E11" s="22">
        <v>199659.98740000001</v>
      </c>
      <c r="F11" s="23">
        <v>2.2495345090000001</v>
      </c>
      <c r="G11" s="24">
        <f t="shared" si="0"/>
        <v>2.0726386150993944E-10</v>
      </c>
      <c r="H11" s="25">
        <f t="shared" si="2"/>
        <v>1</v>
      </c>
      <c r="I11" s="26">
        <v>235307.8455</v>
      </c>
      <c r="J11" s="27">
        <v>1.2960904000000001E-2</v>
      </c>
      <c r="K11" s="28">
        <f t="shared" si="1"/>
        <v>0.17854282479420208</v>
      </c>
      <c r="L11" s="29">
        <f t="shared" si="3"/>
        <v>0</v>
      </c>
    </row>
    <row r="12" spans="2:12" x14ac:dyDescent="0.25">
      <c r="B12" s="43" t="s">
        <v>498</v>
      </c>
      <c r="C12" s="30">
        <v>168651.33298050717</v>
      </c>
      <c r="D12" s="31">
        <v>1.8822822990000001</v>
      </c>
      <c r="E12" s="22">
        <v>168651.33300000001</v>
      </c>
      <c r="F12" s="23">
        <v>2.3846866160000002</v>
      </c>
      <c r="G12" s="24">
        <f t="shared" si="0"/>
        <v>1.1558072549257035E-10</v>
      </c>
      <c r="H12" s="25">
        <f t="shared" si="2"/>
        <v>1</v>
      </c>
      <c r="I12" s="26">
        <v>179823.1856</v>
      </c>
      <c r="J12" s="27">
        <v>1.4020002E-2</v>
      </c>
      <c r="K12" s="28">
        <f t="shared" si="1"/>
        <v>6.624230251879526E-2</v>
      </c>
      <c r="L12" s="29">
        <f t="shared" si="3"/>
        <v>0</v>
      </c>
    </row>
    <row r="13" spans="2:12" x14ac:dyDescent="0.25">
      <c r="B13" s="43" t="s">
        <v>499</v>
      </c>
      <c r="C13" s="30">
        <v>214475.41004114394</v>
      </c>
      <c r="D13" s="31">
        <v>1.378830421</v>
      </c>
      <c r="E13" s="22">
        <v>214475.41</v>
      </c>
      <c r="F13" s="23">
        <v>2.2899930359999998</v>
      </c>
      <c r="G13" s="24">
        <f t="shared" si="0"/>
        <v>-1.9183522992048037E-10</v>
      </c>
      <c r="H13" s="25">
        <f t="shared" si="2"/>
        <v>1</v>
      </c>
      <c r="I13" s="26">
        <v>229278.7053</v>
      </c>
      <c r="J13" s="27">
        <v>1.3523215E-2</v>
      </c>
      <c r="K13" s="28">
        <f t="shared" si="1"/>
        <v>6.9020943967498485E-2</v>
      </c>
      <c r="L13" s="29">
        <f t="shared" si="3"/>
        <v>0</v>
      </c>
    </row>
    <row r="14" spans="2:12" x14ac:dyDescent="0.25">
      <c r="B14" s="43" t="s">
        <v>500</v>
      </c>
      <c r="C14" s="30">
        <v>134643.34990505417</v>
      </c>
      <c r="D14" s="31">
        <v>1.178991672</v>
      </c>
      <c r="E14" s="22">
        <v>134643.3499</v>
      </c>
      <c r="F14" s="23">
        <v>3.6881580430000001</v>
      </c>
      <c r="G14" s="24">
        <f t="shared" si="0"/>
        <v>-3.7537473634460237E-11</v>
      </c>
      <c r="H14" s="25">
        <f t="shared" si="2"/>
        <v>1</v>
      </c>
      <c r="I14" s="26">
        <v>177245.5197</v>
      </c>
      <c r="J14" s="27">
        <v>1.9495268999999999E-2</v>
      </c>
      <c r="K14" s="28">
        <f t="shared" si="1"/>
        <v>0.31640753015271389</v>
      </c>
      <c r="L14" s="29">
        <f t="shared" si="3"/>
        <v>0</v>
      </c>
    </row>
    <row r="15" spans="2:12" x14ac:dyDescent="0.25">
      <c r="B15" s="43" t="s">
        <v>501</v>
      </c>
      <c r="C15" s="30">
        <v>161322.75478755994</v>
      </c>
      <c r="D15" s="31">
        <v>1.2971964789999999</v>
      </c>
      <c r="E15" s="22">
        <v>161322.7548</v>
      </c>
      <c r="F15" s="23">
        <v>2.976334005</v>
      </c>
      <c r="G15" s="24">
        <f t="shared" si="0"/>
        <v>7.7112828846226546E-11</v>
      </c>
      <c r="H15" s="25">
        <f t="shared" si="2"/>
        <v>1</v>
      </c>
      <c r="I15" s="26">
        <v>167292.5546</v>
      </c>
      <c r="J15" s="27">
        <v>3.4149345999999997E-2</v>
      </c>
      <c r="K15" s="28">
        <f t="shared" si="1"/>
        <v>3.7005317819556661E-2</v>
      </c>
      <c r="L15" s="29">
        <f t="shared" si="3"/>
        <v>0</v>
      </c>
    </row>
    <row r="16" spans="2:12" x14ac:dyDescent="0.25">
      <c r="B16" s="43" t="s">
        <v>502</v>
      </c>
      <c r="C16" s="30">
        <v>112985.8671246317</v>
      </c>
      <c r="D16" s="31">
        <v>2.0160581940000002</v>
      </c>
      <c r="E16" s="22">
        <v>112985.8671</v>
      </c>
      <c r="F16" s="23">
        <v>2.8236386439999999</v>
      </c>
      <c r="G16" s="24">
        <f t="shared" si="0"/>
        <v>-2.1800684315531034E-10</v>
      </c>
      <c r="H16" s="25">
        <f t="shared" si="2"/>
        <v>1</v>
      </c>
      <c r="I16" s="26">
        <v>139494.92869999999</v>
      </c>
      <c r="J16" s="27">
        <v>1.7610244000000001E-2</v>
      </c>
      <c r="K16" s="28">
        <f t="shared" si="1"/>
        <v>0.23462280947162051</v>
      </c>
      <c r="L16" s="29">
        <f t="shared" si="3"/>
        <v>0</v>
      </c>
    </row>
    <row r="17" spans="2:12" x14ac:dyDescent="0.25">
      <c r="B17" s="43" t="s">
        <v>503</v>
      </c>
      <c r="C17" s="30">
        <v>114811.26156034668</v>
      </c>
      <c r="D17" s="31">
        <v>1.1363409550000001</v>
      </c>
      <c r="E17" s="22">
        <v>114811.2616</v>
      </c>
      <c r="F17" s="23">
        <v>2.924375162</v>
      </c>
      <c r="G17" s="24">
        <f t="shared" si="0"/>
        <v>3.4537826361460164E-10</v>
      </c>
      <c r="H17" s="25">
        <f t="shared" si="2"/>
        <v>1</v>
      </c>
      <c r="I17" s="26">
        <v>137550.34150000001</v>
      </c>
      <c r="J17" s="27">
        <v>1.8110887999999999E-2</v>
      </c>
      <c r="K17" s="28">
        <f t="shared" si="1"/>
        <v>0.19805618047060036</v>
      </c>
      <c r="L17" s="29">
        <f t="shared" si="3"/>
        <v>0</v>
      </c>
    </row>
    <row r="18" spans="2:12" x14ac:dyDescent="0.25">
      <c r="B18" s="43" t="s">
        <v>504</v>
      </c>
      <c r="C18" s="30">
        <v>129826.69651823603</v>
      </c>
      <c r="D18" s="31">
        <v>1.937889306</v>
      </c>
      <c r="E18" s="22">
        <v>129826.69650000001</v>
      </c>
      <c r="F18" s="23">
        <v>2.9180046380000002</v>
      </c>
      <c r="G18" s="24">
        <f t="shared" si="0"/>
        <v>-1.4046435822366454E-10</v>
      </c>
      <c r="H18" s="25">
        <f t="shared" si="2"/>
        <v>1</v>
      </c>
      <c r="I18" s="26">
        <v>155027.87700000001</v>
      </c>
      <c r="J18" s="27">
        <v>1.7538978E-2</v>
      </c>
      <c r="K18" s="28">
        <f t="shared" si="1"/>
        <v>0.19411400857930719</v>
      </c>
      <c r="L18" s="29">
        <f t="shared" si="3"/>
        <v>0</v>
      </c>
    </row>
    <row r="19" spans="2:12" x14ac:dyDescent="0.25">
      <c r="B19" s="43" t="s">
        <v>505</v>
      </c>
      <c r="C19" s="30">
        <v>138415.23033513883</v>
      </c>
      <c r="D19" s="31">
        <v>4.5677392140000004</v>
      </c>
      <c r="E19" s="22">
        <v>138415.2303</v>
      </c>
      <c r="F19" s="23">
        <v>2.637347326</v>
      </c>
      <c r="G19" s="24">
        <f t="shared" si="0"/>
        <v>-2.5386534241204765E-10</v>
      </c>
      <c r="H19" s="25">
        <f t="shared" si="2"/>
        <v>1</v>
      </c>
      <c r="I19" s="26">
        <v>158373.12580000001</v>
      </c>
      <c r="J19" s="27">
        <v>1.8982601000000002E-2</v>
      </c>
      <c r="K19" s="28">
        <f t="shared" si="1"/>
        <v>0.14418857965657386</v>
      </c>
      <c r="L19" s="29">
        <f t="shared" si="3"/>
        <v>0</v>
      </c>
    </row>
    <row r="20" spans="2:12" x14ac:dyDescent="0.25">
      <c r="B20" s="43" t="s">
        <v>506</v>
      </c>
      <c r="C20" s="30">
        <v>177773.6767476995</v>
      </c>
      <c r="D20" s="31">
        <v>1.229773625</v>
      </c>
      <c r="E20" s="22">
        <v>177773.67670000001</v>
      </c>
      <c r="F20" s="23">
        <v>3.0383927220000002</v>
      </c>
      <c r="G20" s="24">
        <f t="shared" si="0"/>
        <v>-2.6831582138066629E-10</v>
      </c>
      <c r="H20" s="25">
        <f t="shared" si="2"/>
        <v>1</v>
      </c>
      <c r="I20" s="26">
        <v>188040.3426</v>
      </c>
      <c r="J20" s="27">
        <v>1.66175E-2</v>
      </c>
      <c r="K20" s="28">
        <f t="shared" si="1"/>
        <v>5.7751327643806298E-2</v>
      </c>
      <c r="L20" s="29">
        <f t="shared" si="3"/>
        <v>0</v>
      </c>
    </row>
    <row r="21" spans="2:12" x14ac:dyDescent="0.25">
      <c r="B21" s="43" t="s">
        <v>507</v>
      </c>
      <c r="C21" s="30">
        <v>183708.84711867568</v>
      </c>
      <c r="D21" s="31">
        <v>4.6086104680000002</v>
      </c>
      <c r="E21" s="22">
        <v>183708.84710000001</v>
      </c>
      <c r="F21" s="23">
        <v>3.0652177649999999</v>
      </c>
      <c r="G21" s="24">
        <f t="shared" si="0"/>
        <v>-1.0165904561769663E-10</v>
      </c>
      <c r="H21" s="25">
        <f t="shared" si="2"/>
        <v>1</v>
      </c>
      <c r="I21" s="26">
        <v>201292.39449999999</v>
      </c>
      <c r="J21" s="27">
        <v>1.8112610000000001E-2</v>
      </c>
      <c r="K21" s="28">
        <f t="shared" si="1"/>
        <v>9.5714211139572208E-2</v>
      </c>
      <c r="L21" s="29">
        <f t="shared" si="3"/>
        <v>0</v>
      </c>
    </row>
    <row r="22" spans="2:12" x14ac:dyDescent="0.25">
      <c r="B22" s="43" t="s">
        <v>508</v>
      </c>
      <c r="C22" s="30">
        <v>154484.7381540467</v>
      </c>
      <c r="D22" s="31">
        <v>13.722501089</v>
      </c>
      <c r="E22" s="22">
        <v>154484.73819999999</v>
      </c>
      <c r="F22" s="23">
        <v>2.9083599100000002</v>
      </c>
      <c r="G22" s="24">
        <f t="shared" si="0"/>
        <v>2.9746167758671081E-10</v>
      </c>
      <c r="H22" s="25">
        <f t="shared" si="2"/>
        <v>1</v>
      </c>
      <c r="I22" s="26">
        <v>176952.4204</v>
      </c>
      <c r="J22" s="27">
        <v>1.7853160999999999E-2</v>
      </c>
      <c r="K22" s="28">
        <f t="shared" si="1"/>
        <v>0.14543625806938498</v>
      </c>
      <c r="L22" s="29">
        <f t="shared" si="3"/>
        <v>0</v>
      </c>
    </row>
    <row r="23" spans="2:12" x14ac:dyDescent="0.25">
      <c r="B23" s="43" t="s">
        <v>509</v>
      </c>
      <c r="C23" s="30">
        <v>113384.49273723172</v>
      </c>
      <c r="D23" s="31">
        <v>1.1649768840000001</v>
      </c>
      <c r="E23" s="22">
        <v>113384.4927</v>
      </c>
      <c r="F23" s="23">
        <v>2.4396168939999998</v>
      </c>
      <c r="G23" s="24">
        <f t="shared" si="0"/>
        <v>-3.2836690888877587E-10</v>
      </c>
      <c r="H23" s="25">
        <f t="shared" si="2"/>
        <v>1</v>
      </c>
      <c r="I23" s="26">
        <v>140534.7764</v>
      </c>
      <c r="J23" s="27">
        <v>1.8550726999999999E-2</v>
      </c>
      <c r="K23" s="28">
        <f t="shared" si="1"/>
        <v>0.23945323568796131</v>
      </c>
      <c r="L23" s="29">
        <f t="shared" si="3"/>
        <v>0</v>
      </c>
    </row>
    <row r="24" spans="2:12" x14ac:dyDescent="0.25">
      <c r="B24" s="43" t="s">
        <v>510</v>
      </c>
      <c r="C24" s="30">
        <v>127029.18651109292</v>
      </c>
      <c r="D24" s="31">
        <v>5.2940383950000003</v>
      </c>
      <c r="E24" s="22">
        <v>127029.1865</v>
      </c>
      <c r="F24" s="23">
        <v>4.2023027959999997</v>
      </c>
      <c r="G24" s="24">
        <f t="shared" si="0"/>
        <v>-8.7325797190831828E-11</v>
      </c>
      <c r="H24" s="25">
        <f t="shared" si="2"/>
        <v>1</v>
      </c>
      <c r="I24" s="26">
        <v>181777.01939999999</v>
      </c>
      <c r="J24" s="27">
        <v>1.9516638999999999E-2</v>
      </c>
      <c r="K24" s="28">
        <f t="shared" si="1"/>
        <v>0.4309862512118518</v>
      </c>
      <c r="L24" s="29">
        <f t="shared" si="3"/>
        <v>0</v>
      </c>
    </row>
    <row r="25" spans="2:12" x14ac:dyDescent="0.25">
      <c r="B25" s="43" t="s">
        <v>511</v>
      </c>
      <c r="C25" s="30">
        <v>137402.07521559473</v>
      </c>
      <c r="D25" s="31">
        <v>4.0043583829999996</v>
      </c>
      <c r="E25" s="22">
        <v>137402.07519999999</v>
      </c>
      <c r="F25" s="23">
        <v>4.5152247550000002</v>
      </c>
      <c r="G25" s="24">
        <f t="shared" si="0"/>
        <v>-1.1349708185260452E-10</v>
      </c>
      <c r="H25" s="25">
        <f t="shared" si="2"/>
        <v>1</v>
      </c>
      <c r="I25" s="26">
        <v>167826.30350000001</v>
      </c>
      <c r="J25" s="27">
        <v>2.2340564E-2</v>
      </c>
      <c r="K25" s="28">
        <f t="shared" si="1"/>
        <v>0.22142480917167562</v>
      </c>
      <c r="L25" s="29">
        <f t="shared" si="3"/>
        <v>0</v>
      </c>
    </row>
    <row r="26" spans="2:12" x14ac:dyDescent="0.25">
      <c r="B26" s="43" t="s">
        <v>512</v>
      </c>
      <c r="C26" s="30">
        <v>122081.89975592299</v>
      </c>
      <c r="D26" s="31">
        <v>1.7982418149999999</v>
      </c>
      <c r="E26" s="22">
        <v>122081.8998</v>
      </c>
      <c r="F26" s="23">
        <v>3.5854396209999999</v>
      </c>
      <c r="G26" s="24">
        <f t="shared" si="0"/>
        <v>3.6104458701223712E-10</v>
      </c>
      <c r="H26" s="25">
        <f t="shared" si="2"/>
        <v>1</v>
      </c>
      <c r="I26" s="26">
        <v>133349.86840000001</v>
      </c>
      <c r="J26" s="27">
        <v>2.1195035000000001E-2</v>
      </c>
      <c r="K26" s="28">
        <f t="shared" si="1"/>
        <v>9.2298437906069147E-2</v>
      </c>
      <c r="L26" s="29">
        <f t="shared" si="3"/>
        <v>0</v>
      </c>
    </row>
    <row r="27" spans="2:12" x14ac:dyDescent="0.25">
      <c r="B27" s="43" t="s">
        <v>513</v>
      </c>
      <c r="C27" s="30">
        <v>152050.15598214339</v>
      </c>
      <c r="D27" s="31">
        <v>7.3960911290000002</v>
      </c>
      <c r="E27" s="22">
        <v>152050.15599999999</v>
      </c>
      <c r="F27" s="23">
        <v>3.768991019</v>
      </c>
      <c r="G27" s="24">
        <f t="shared" si="0"/>
        <v>1.1743885991912505E-10</v>
      </c>
      <c r="H27" s="25">
        <f t="shared" si="2"/>
        <v>1</v>
      </c>
      <c r="I27" s="26">
        <v>180573.56909999999</v>
      </c>
      <c r="J27" s="27">
        <v>3.6248546E-2</v>
      </c>
      <c r="K27" s="28">
        <f t="shared" si="1"/>
        <v>0.18759213322481802</v>
      </c>
      <c r="L27" s="29">
        <f t="shared" si="3"/>
        <v>0</v>
      </c>
    </row>
    <row r="28" spans="2:12" x14ac:dyDescent="0.25">
      <c r="B28" s="43" t="s">
        <v>514</v>
      </c>
      <c r="C28" s="30">
        <v>155868.09919915861</v>
      </c>
      <c r="D28" s="31">
        <v>1.405066953</v>
      </c>
      <c r="E28" s="22">
        <v>155868.0992</v>
      </c>
      <c r="F28" s="23">
        <v>3.5284420860000001</v>
      </c>
      <c r="G28" s="24">
        <f t="shared" si="0"/>
        <v>5.3981009765769523E-12</v>
      </c>
      <c r="H28" s="25">
        <f t="shared" si="2"/>
        <v>1</v>
      </c>
      <c r="I28" s="26">
        <v>188407.64559999999</v>
      </c>
      <c r="J28" s="27">
        <v>2.1411191999999999E-2</v>
      </c>
      <c r="K28" s="28">
        <f t="shared" si="1"/>
        <v>0.20876334906262228</v>
      </c>
      <c r="L28" s="29">
        <f t="shared" si="3"/>
        <v>0</v>
      </c>
    </row>
    <row r="29" spans="2:12" x14ac:dyDescent="0.25">
      <c r="B29" s="43" t="s">
        <v>515</v>
      </c>
      <c r="C29" s="30">
        <v>125070.09692354716</v>
      </c>
      <c r="D29" s="31">
        <v>1.2429896389999999</v>
      </c>
      <c r="E29" s="22">
        <v>125070.0969</v>
      </c>
      <c r="F29" s="23">
        <v>3.7957927069999999</v>
      </c>
      <c r="G29" s="24">
        <f t="shared" si="0"/>
        <v>-1.8827164208040285E-10</v>
      </c>
      <c r="H29" s="25">
        <f t="shared" si="2"/>
        <v>1</v>
      </c>
      <c r="I29" s="26">
        <v>151441.23759999999</v>
      </c>
      <c r="J29" s="27">
        <v>2.2454940999999999E-2</v>
      </c>
      <c r="K29" s="28">
        <f t="shared" si="1"/>
        <v>0.21085088542445909</v>
      </c>
      <c r="L29" s="29">
        <f t="shared" si="3"/>
        <v>0</v>
      </c>
    </row>
    <row r="30" spans="2:12" x14ac:dyDescent="0.25">
      <c r="B30" s="43" t="s">
        <v>516</v>
      </c>
      <c r="C30" s="30">
        <v>133414.084992939</v>
      </c>
      <c r="D30" s="31">
        <v>1.2931268460000001</v>
      </c>
      <c r="E30" s="22">
        <v>133414.08499999999</v>
      </c>
      <c r="F30" s="23">
        <v>3.5151963589999999</v>
      </c>
      <c r="G30" s="24">
        <f t="shared" si="0"/>
        <v>5.2925421800881799E-11</v>
      </c>
      <c r="H30" s="25">
        <f t="shared" si="2"/>
        <v>1</v>
      </c>
      <c r="I30" s="26">
        <v>161924.72339999999</v>
      </c>
      <c r="J30" s="27">
        <v>2.2196894000000002E-2</v>
      </c>
      <c r="K30" s="28">
        <f t="shared" si="1"/>
        <v>0.21370036311061108</v>
      </c>
      <c r="L30" s="29">
        <f t="shared" si="3"/>
        <v>0</v>
      </c>
    </row>
    <row r="31" spans="2:12" x14ac:dyDescent="0.25">
      <c r="B31" s="43" t="s">
        <v>517</v>
      </c>
      <c r="C31" s="30">
        <v>138539.1133906841</v>
      </c>
      <c r="D31" s="31">
        <v>3.1922062210000002</v>
      </c>
      <c r="E31" s="22">
        <v>138539.1134</v>
      </c>
      <c r="F31" s="23">
        <v>3.8093399909999999</v>
      </c>
      <c r="G31" s="24">
        <f t="shared" si="0"/>
        <v>6.7243849556664206E-11</v>
      </c>
      <c r="H31" s="25">
        <f t="shared" si="2"/>
        <v>1</v>
      </c>
      <c r="I31" s="26">
        <v>156094.16200000001</v>
      </c>
      <c r="J31" s="27">
        <v>2.0852658999999999E-2</v>
      </c>
      <c r="K31" s="28">
        <f t="shared" si="1"/>
        <v>0.12671546814227252</v>
      </c>
      <c r="L31" s="29">
        <f t="shared" si="3"/>
        <v>0</v>
      </c>
    </row>
    <row r="32" spans="2:12" x14ac:dyDescent="0.25">
      <c r="B32" s="43" t="s">
        <v>518</v>
      </c>
      <c r="C32" s="30">
        <v>143418.88068040449</v>
      </c>
      <c r="D32" s="31">
        <v>6.2387370869999996</v>
      </c>
      <c r="E32" s="22">
        <v>143418.88070000001</v>
      </c>
      <c r="F32" s="23">
        <v>3.4729263869999998</v>
      </c>
      <c r="G32" s="24">
        <f t="shared" si="0"/>
        <v>1.3663139498832244E-10</v>
      </c>
      <c r="H32" s="25">
        <f t="shared" si="2"/>
        <v>1</v>
      </c>
      <c r="I32" s="26">
        <v>157926.45989999999</v>
      </c>
      <c r="J32" s="27">
        <v>2.2379287000000001E-2</v>
      </c>
      <c r="K32" s="28">
        <f t="shared" si="1"/>
        <v>0.10115529524961415</v>
      </c>
      <c r="L32" s="29">
        <f t="shared" si="3"/>
        <v>0</v>
      </c>
    </row>
    <row r="33" spans="2:12" x14ac:dyDescent="0.25">
      <c r="B33" s="43" t="s">
        <v>519</v>
      </c>
      <c r="C33" s="30">
        <v>140273.04881800435</v>
      </c>
      <c r="D33" s="31">
        <v>2.473524469</v>
      </c>
      <c r="E33" s="22">
        <v>140273.04879999999</v>
      </c>
      <c r="F33" s="23">
        <v>4.0419641899999998</v>
      </c>
      <c r="G33" s="24">
        <f t="shared" si="0"/>
        <v>-1.2835221924673807E-10</v>
      </c>
      <c r="H33" s="25">
        <f t="shared" si="2"/>
        <v>1</v>
      </c>
      <c r="I33" s="26">
        <v>161775.95629999999</v>
      </c>
      <c r="J33" s="27">
        <v>3.3641007000000001E-2</v>
      </c>
      <c r="K33" s="28">
        <f t="shared" si="1"/>
        <v>0.15329322106554014</v>
      </c>
      <c r="L33" s="29">
        <f t="shared" si="3"/>
        <v>0</v>
      </c>
    </row>
    <row r="34" spans="2:12" x14ac:dyDescent="0.25">
      <c r="B34" s="43" t="s">
        <v>520</v>
      </c>
      <c r="C34" s="30">
        <v>105639.61905086439</v>
      </c>
      <c r="D34" s="31">
        <v>8.0320966219999992</v>
      </c>
      <c r="E34" s="22">
        <v>105639.6191</v>
      </c>
      <c r="F34" s="23">
        <v>4.7878700189999996</v>
      </c>
      <c r="G34" s="24">
        <f t="shared" si="0"/>
        <v>4.6512477515404571E-10</v>
      </c>
      <c r="H34" s="25">
        <f t="shared" si="2"/>
        <v>1</v>
      </c>
      <c r="I34" s="26">
        <v>127670.1333</v>
      </c>
      <c r="J34" s="27">
        <v>4.4382946999999999E-2</v>
      </c>
      <c r="K34" s="28">
        <f t="shared" si="1"/>
        <v>0.20854405238368137</v>
      </c>
      <c r="L34" s="29">
        <f t="shared" si="3"/>
        <v>0</v>
      </c>
    </row>
    <row r="35" spans="2:12" x14ac:dyDescent="0.25">
      <c r="B35" s="43" t="s">
        <v>521</v>
      </c>
      <c r="C35" s="30">
        <v>124380.46444349176</v>
      </c>
      <c r="D35" s="31">
        <v>1.510269812</v>
      </c>
      <c r="E35" s="22">
        <v>124380.4644</v>
      </c>
      <c r="F35" s="23">
        <v>5.9506384360000002</v>
      </c>
      <c r="G35" s="24">
        <f t="shared" si="0"/>
        <v>-3.496671309838304E-10</v>
      </c>
      <c r="H35" s="25">
        <f t="shared" si="2"/>
        <v>1</v>
      </c>
      <c r="I35" s="26">
        <v>147350.39720000001</v>
      </c>
      <c r="J35" s="27">
        <v>2.4777851E-2</v>
      </c>
      <c r="K35" s="28">
        <f t="shared" si="1"/>
        <v>0.18467476270716046</v>
      </c>
      <c r="L35" s="29">
        <f t="shared" si="3"/>
        <v>0</v>
      </c>
    </row>
    <row r="36" spans="2:12" x14ac:dyDescent="0.25">
      <c r="B36" s="43" t="s">
        <v>522</v>
      </c>
      <c r="C36" s="30">
        <v>110084.85731548784</v>
      </c>
      <c r="D36" s="31">
        <v>1.509569927</v>
      </c>
      <c r="E36" s="22">
        <v>110084.8573</v>
      </c>
      <c r="F36" s="23">
        <v>5.0376412769999996</v>
      </c>
      <c r="G36" s="24">
        <f t="shared" si="0"/>
        <v>-1.4068997849366799E-10</v>
      </c>
      <c r="H36" s="25">
        <f t="shared" si="2"/>
        <v>1</v>
      </c>
      <c r="I36" s="26">
        <v>145805.25810000001</v>
      </c>
      <c r="J36" s="27">
        <v>2.2846068000000001E-2</v>
      </c>
      <c r="K36" s="28">
        <f t="shared" si="1"/>
        <v>0.32448060210626867</v>
      </c>
      <c r="L36" s="29">
        <f t="shared" si="3"/>
        <v>0</v>
      </c>
    </row>
    <row r="37" spans="2:12" x14ac:dyDescent="0.25">
      <c r="B37" s="43" t="s">
        <v>523</v>
      </c>
      <c r="C37" s="30">
        <v>108819.13312878003</v>
      </c>
      <c r="D37" s="31">
        <v>4.7971939509999997</v>
      </c>
      <c r="E37" s="22">
        <v>108819.13310000001</v>
      </c>
      <c r="F37" s="23">
        <v>5.016152226</v>
      </c>
      <c r="G37" s="24">
        <f t="shared" si="0"/>
        <v>-2.6447574439885395E-10</v>
      </c>
      <c r="H37" s="25">
        <f t="shared" si="2"/>
        <v>1</v>
      </c>
      <c r="I37" s="26">
        <v>128536.0272</v>
      </c>
      <c r="J37" s="27">
        <v>2.9345387000000001E-2</v>
      </c>
      <c r="K37" s="28">
        <f t="shared" si="1"/>
        <v>0.18118958959070525</v>
      </c>
      <c r="L37" s="29">
        <f t="shared" si="3"/>
        <v>0</v>
      </c>
    </row>
    <row r="38" spans="2:12" x14ac:dyDescent="0.25">
      <c r="B38" s="43" t="s">
        <v>524</v>
      </c>
      <c r="C38" s="30">
        <v>115383.90664473109</v>
      </c>
      <c r="D38" s="31">
        <v>1.348415028</v>
      </c>
      <c r="E38" s="22">
        <v>115383.9066</v>
      </c>
      <c r="F38" s="23">
        <v>4.6895568369999996</v>
      </c>
      <c r="G38" s="24">
        <f t="shared" si="0"/>
        <v>-3.8767181546780976E-10</v>
      </c>
      <c r="H38" s="25">
        <f t="shared" si="2"/>
        <v>1</v>
      </c>
      <c r="I38" s="26">
        <v>148631.88269999999</v>
      </c>
      <c r="J38" s="27">
        <v>6.2260334000000001E-2</v>
      </c>
      <c r="K38" s="28">
        <f t="shared" si="1"/>
        <v>0.28815089575394559</v>
      </c>
      <c r="L38" s="29">
        <f t="shared" si="3"/>
        <v>0</v>
      </c>
    </row>
    <row r="39" spans="2:12" x14ac:dyDescent="0.25">
      <c r="B39" s="43" t="s">
        <v>525</v>
      </c>
      <c r="C39" s="30">
        <v>81639.463596781745</v>
      </c>
      <c r="D39" s="31">
        <v>1.495412781</v>
      </c>
      <c r="E39" s="22">
        <v>81639.463600000003</v>
      </c>
      <c r="F39" s="23">
        <v>4.538298406</v>
      </c>
      <c r="G39" s="24">
        <f t="shared" si="0"/>
        <v>3.9420370668466675E-11</v>
      </c>
      <c r="H39" s="25">
        <f t="shared" si="2"/>
        <v>1</v>
      </c>
      <c r="I39" s="26">
        <v>97566.548699999999</v>
      </c>
      <c r="J39" s="27">
        <v>2.3107921999999999E-2</v>
      </c>
      <c r="K39" s="28">
        <f t="shared" si="1"/>
        <v>0.1950905162959217</v>
      </c>
      <c r="L39" s="29">
        <f t="shared" si="3"/>
        <v>0</v>
      </c>
    </row>
    <row r="40" spans="2:12" x14ac:dyDescent="0.25">
      <c r="B40" s="43" t="s">
        <v>526</v>
      </c>
      <c r="C40" s="30">
        <v>100016.99302833695</v>
      </c>
      <c r="D40" s="31">
        <v>5.9704530990000002</v>
      </c>
      <c r="E40" s="22">
        <v>100016.993</v>
      </c>
      <c r="F40" s="23">
        <v>4.5887575500000004</v>
      </c>
      <c r="G40" s="24">
        <f t="shared" si="0"/>
        <v>-2.8332130037313069E-10</v>
      </c>
      <c r="H40" s="25">
        <f t="shared" si="2"/>
        <v>1</v>
      </c>
      <c r="I40" s="26">
        <v>114565.48209999999</v>
      </c>
      <c r="J40" s="27">
        <v>2.3978434E-2</v>
      </c>
      <c r="K40" s="28">
        <f t="shared" si="1"/>
        <v>0.14546017262827676</v>
      </c>
      <c r="L40" s="29">
        <f t="shared" si="3"/>
        <v>0</v>
      </c>
    </row>
    <row r="41" spans="2:12" x14ac:dyDescent="0.25">
      <c r="B41" s="43" t="s">
        <v>527</v>
      </c>
      <c r="C41" s="30">
        <v>134963.11230502449</v>
      </c>
      <c r="D41" s="31">
        <v>3.7084366430000002</v>
      </c>
      <c r="E41" s="22">
        <v>134963.11230000001</v>
      </c>
      <c r="F41" s="23">
        <v>4.3313597870000002</v>
      </c>
      <c r="G41" s="24">
        <f t="shared" si="0"/>
        <v>-3.7228581975013122E-11</v>
      </c>
      <c r="H41" s="25">
        <f t="shared" si="2"/>
        <v>1</v>
      </c>
      <c r="I41" s="26">
        <v>168215.5074</v>
      </c>
      <c r="J41" s="27">
        <v>2.6997989E-2</v>
      </c>
      <c r="K41" s="28">
        <f t="shared" si="1"/>
        <v>0.24638135952157919</v>
      </c>
      <c r="L41" s="29">
        <f t="shared" si="3"/>
        <v>0</v>
      </c>
    </row>
    <row r="42" spans="2:12" x14ac:dyDescent="0.25">
      <c r="B42" s="43" t="s">
        <v>528</v>
      </c>
      <c r="C42" s="30">
        <v>112292.34774595441</v>
      </c>
      <c r="D42" s="31">
        <v>1.4023551590000001</v>
      </c>
      <c r="E42" s="22">
        <v>112292.3477</v>
      </c>
      <c r="F42" s="23">
        <v>4.4723444069999996</v>
      </c>
      <c r="G42" s="24">
        <f t="shared" si="0"/>
        <v>-4.0923901577233418E-10</v>
      </c>
      <c r="H42" s="25">
        <f t="shared" si="2"/>
        <v>1</v>
      </c>
      <c r="I42" s="26">
        <v>129280.6483</v>
      </c>
      <c r="J42" s="27">
        <v>2.4775617E-2</v>
      </c>
      <c r="K42" s="28">
        <f t="shared" si="1"/>
        <v>0.15128636006862395</v>
      </c>
      <c r="L42" s="29">
        <f t="shared" si="3"/>
        <v>0</v>
      </c>
    </row>
    <row r="43" spans="2:12" x14ac:dyDescent="0.25">
      <c r="B43" s="43" t="s">
        <v>529</v>
      </c>
      <c r="C43" s="30">
        <v>118985.15743760308</v>
      </c>
      <c r="D43" s="31">
        <v>1.638573616</v>
      </c>
      <c r="E43" s="22">
        <v>118985.1574</v>
      </c>
      <c r="F43" s="23">
        <v>4.6948119830000001</v>
      </c>
      <c r="G43" s="24">
        <f t="shared" si="0"/>
        <v>-3.1603168901460644E-10</v>
      </c>
      <c r="H43" s="25">
        <f t="shared" si="2"/>
        <v>1</v>
      </c>
      <c r="I43" s="26">
        <v>144208.9725</v>
      </c>
      <c r="J43" s="27">
        <v>2.8185358000000001E-2</v>
      </c>
      <c r="K43" s="28">
        <f t="shared" si="1"/>
        <v>0.21199127358069456</v>
      </c>
      <c r="L43" s="29">
        <f t="shared" si="3"/>
        <v>0</v>
      </c>
    </row>
    <row r="44" spans="2:12" x14ac:dyDescent="0.25">
      <c r="B44" s="43" t="s">
        <v>530</v>
      </c>
      <c r="C44" s="30">
        <v>50547.596316515577</v>
      </c>
      <c r="D44" s="31">
        <v>6.0363041199999996</v>
      </c>
      <c r="E44" s="22">
        <v>50547.596299999997</v>
      </c>
      <c r="F44" s="23">
        <v>1.342858662</v>
      </c>
      <c r="G44" s="24">
        <f t="shared" si="0"/>
        <v>-3.2673323711966387E-10</v>
      </c>
      <c r="H44" s="25">
        <f t="shared" si="2"/>
        <v>1</v>
      </c>
      <c r="I44" s="26">
        <v>55771.775300000001</v>
      </c>
      <c r="J44" s="27">
        <v>9.6805569999999994E-3</v>
      </c>
      <c r="K44" s="28">
        <f t="shared" si="1"/>
        <v>0.10335167968763553</v>
      </c>
      <c r="L44" s="29">
        <f t="shared" si="3"/>
        <v>0</v>
      </c>
    </row>
    <row r="45" spans="2:12" x14ac:dyDescent="0.25">
      <c r="B45" s="43" t="s">
        <v>531</v>
      </c>
      <c r="C45" s="30">
        <v>54562.268997706873</v>
      </c>
      <c r="D45" s="31">
        <v>3.1736239249999998</v>
      </c>
      <c r="E45" s="22">
        <v>54562.269</v>
      </c>
      <c r="F45" s="23">
        <v>1.314591759</v>
      </c>
      <c r="G45" s="24">
        <f t="shared" si="0"/>
        <v>4.202770932364441E-11</v>
      </c>
      <c r="H45" s="25">
        <f t="shared" si="2"/>
        <v>1</v>
      </c>
      <c r="I45" s="26">
        <v>57230.590400000001</v>
      </c>
      <c r="J45" s="27">
        <v>1.0189627999999999E-2</v>
      </c>
      <c r="K45" s="28">
        <f t="shared" si="1"/>
        <v>4.8904150272879442E-2</v>
      </c>
      <c r="L45" s="29">
        <f t="shared" si="3"/>
        <v>0</v>
      </c>
    </row>
    <row r="46" spans="2:12" x14ac:dyDescent="0.25">
      <c r="B46" s="43" t="s">
        <v>532</v>
      </c>
      <c r="C46" s="30">
        <v>42736.146513494539</v>
      </c>
      <c r="D46" s="31">
        <v>4.5599053610000002</v>
      </c>
      <c r="E46" s="22">
        <v>42736.146500000003</v>
      </c>
      <c r="F46" s="23">
        <v>1.357242799</v>
      </c>
      <c r="G46" s="24">
        <f t="shared" si="0"/>
        <v>-3.1576400281725344E-10</v>
      </c>
      <c r="H46" s="25">
        <f t="shared" si="2"/>
        <v>1</v>
      </c>
      <c r="I46" s="26">
        <v>42736.146500000003</v>
      </c>
      <c r="J46" s="27">
        <v>1.0159512000000001E-2</v>
      </c>
      <c r="K46" s="28">
        <f t="shared" si="1"/>
        <v>-3.1576400281725344E-10</v>
      </c>
      <c r="L46" s="29">
        <f t="shared" si="3"/>
        <v>1</v>
      </c>
    </row>
    <row r="47" spans="2:12" x14ac:dyDescent="0.25">
      <c r="B47" s="43" t="s">
        <v>533</v>
      </c>
      <c r="C47" s="30">
        <v>39250.729164906312</v>
      </c>
      <c r="D47" s="31">
        <v>1.128881354</v>
      </c>
      <c r="E47" s="22">
        <v>39250.729200000002</v>
      </c>
      <c r="F47" s="23">
        <v>1.316330488</v>
      </c>
      <c r="G47" s="24">
        <f t="shared" si="0"/>
        <v>8.9409013665944802E-10</v>
      </c>
      <c r="H47" s="25">
        <f t="shared" si="2"/>
        <v>1</v>
      </c>
      <c r="I47" s="26">
        <v>39250.729200000002</v>
      </c>
      <c r="J47" s="27">
        <v>7.6582235999999998E-2</v>
      </c>
      <c r="K47" s="28">
        <f t="shared" si="1"/>
        <v>8.9409013665944802E-10</v>
      </c>
      <c r="L47" s="29">
        <f t="shared" si="3"/>
        <v>1</v>
      </c>
    </row>
    <row r="48" spans="2:12" x14ac:dyDescent="0.25">
      <c r="B48" s="43" t="s">
        <v>534</v>
      </c>
      <c r="C48" s="30">
        <v>55963.405109477855</v>
      </c>
      <c r="D48" s="31">
        <v>8.6994568739999991</v>
      </c>
      <c r="E48" s="22">
        <v>55963.405100000004</v>
      </c>
      <c r="F48" s="23">
        <v>1.3246242269999999</v>
      </c>
      <c r="G48" s="24">
        <f t="shared" si="0"/>
        <v>-1.69358021453347E-10</v>
      </c>
      <c r="H48" s="25">
        <f t="shared" si="2"/>
        <v>1</v>
      </c>
      <c r="I48" s="26">
        <v>60637.179600000003</v>
      </c>
      <c r="J48" s="27">
        <v>9.5696879999999998E-3</v>
      </c>
      <c r="K48" s="28">
        <f t="shared" si="1"/>
        <v>8.3514834048770317E-2</v>
      </c>
      <c r="L48" s="29">
        <f t="shared" si="3"/>
        <v>0</v>
      </c>
    </row>
    <row r="49" spans="2:12" x14ac:dyDescent="0.25">
      <c r="B49" s="43" t="s">
        <v>535</v>
      </c>
      <c r="C49" s="30">
        <v>47975.543492667261</v>
      </c>
      <c r="D49" s="31">
        <v>1.116983125</v>
      </c>
      <c r="E49" s="22">
        <v>47975.5435</v>
      </c>
      <c r="F49" s="23">
        <v>1.273138353</v>
      </c>
      <c r="G49" s="24">
        <f t="shared" si="0"/>
        <v>1.52843275001674E-10</v>
      </c>
      <c r="H49" s="25">
        <f t="shared" si="2"/>
        <v>1</v>
      </c>
      <c r="I49" s="26">
        <v>47975.5435</v>
      </c>
      <c r="J49" s="27">
        <v>1.0061877E-2</v>
      </c>
      <c r="K49" s="28">
        <f t="shared" si="1"/>
        <v>1.52843275001674E-10</v>
      </c>
      <c r="L49" s="29">
        <f t="shared" si="3"/>
        <v>1</v>
      </c>
    </row>
    <row r="50" spans="2:12" x14ac:dyDescent="0.25">
      <c r="B50" s="43" t="s">
        <v>536</v>
      </c>
      <c r="C50" s="30">
        <v>53918.856615811193</v>
      </c>
      <c r="D50" s="31">
        <v>11.362184778</v>
      </c>
      <c r="E50" s="22">
        <v>53918.856599999999</v>
      </c>
      <c r="F50" s="23">
        <v>1.3629277639999999</v>
      </c>
      <c r="G50" s="24">
        <f t="shared" si="0"/>
        <v>-2.9324053418164568E-10</v>
      </c>
      <c r="H50" s="25">
        <f t="shared" si="2"/>
        <v>1</v>
      </c>
      <c r="I50" s="26">
        <v>60432.1662</v>
      </c>
      <c r="J50" s="27">
        <v>1.1062023000000001E-2</v>
      </c>
      <c r="K50" s="28">
        <f t="shared" si="1"/>
        <v>0.12079836244670737</v>
      </c>
      <c r="L50" s="29">
        <f t="shared" si="3"/>
        <v>0</v>
      </c>
    </row>
    <row r="51" spans="2:12" x14ac:dyDescent="0.25">
      <c r="B51" s="43" t="s">
        <v>537</v>
      </c>
      <c r="C51" s="30">
        <v>45720.700497253805</v>
      </c>
      <c r="D51" s="31">
        <v>1.112890543</v>
      </c>
      <c r="E51" s="22">
        <v>45720.700499999999</v>
      </c>
      <c r="F51" s="23">
        <v>1.2925728030000001</v>
      </c>
      <c r="G51" s="24">
        <f t="shared" si="0"/>
        <v>6.0064560610060119E-11</v>
      </c>
      <c r="H51" s="25">
        <f t="shared" si="2"/>
        <v>1</v>
      </c>
      <c r="I51" s="26">
        <v>50362.561999999998</v>
      </c>
      <c r="J51" s="27">
        <v>1.0504612E-2</v>
      </c>
      <c r="K51" s="28">
        <f t="shared" si="1"/>
        <v>0.10152647383486621</v>
      </c>
      <c r="L51" s="29">
        <f t="shared" si="3"/>
        <v>0</v>
      </c>
    </row>
    <row r="52" spans="2:12" x14ac:dyDescent="0.25">
      <c r="B52" s="43" t="s">
        <v>538</v>
      </c>
      <c r="C52" s="30">
        <v>42071.535620066636</v>
      </c>
      <c r="D52" s="31">
        <v>4.035621506</v>
      </c>
      <c r="E52" s="22">
        <v>42071.535600000003</v>
      </c>
      <c r="F52" s="23">
        <v>1.421659308</v>
      </c>
      <c r="G52" s="24">
        <f t="shared" si="0"/>
        <v>-4.7696458945076205E-10</v>
      </c>
      <c r="H52" s="25">
        <f t="shared" si="2"/>
        <v>1</v>
      </c>
      <c r="I52" s="26">
        <v>43280.232000000004</v>
      </c>
      <c r="J52" s="27">
        <v>1.2656119E-2</v>
      </c>
      <c r="K52" s="28">
        <f t="shared" si="1"/>
        <v>2.872955222858237E-2</v>
      </c>
      <c r="L52" s="29">
        <f t="shared" si="3"/>
        <v>0</v>
      </c>
    </row>
    <row r="53" spans="2:12" x14ac:dyDescent="0.25">
      <c r="B53" s="43" t="s">
        <v>539</v>
      </c>
      <c r="C53" s="30">
        <v>44170.951875278399</v>
      </c>
      <c r="D53" s="31">
        <v>1.2664477329999999</v>
      </c>
      <c r="E53" s="22">
        <v>44170.9519</v>
      </c>
      <c r="F53" s="23">
        <v>1.187725267</v>
      </c>
      <c r="G53" s="24">
        <f t="shared" si="0"/>
        <v>5.5968006510362232E-10</v>
      </c>
      <c r="H53" s="25">
        <f t="shared" si="2"/>
        <v>1</v>
      </c>
      <c r="I53" s="26">
        <v>45606.753299999997</v>
      </c>
      <c r="J53" s="27">
        <v>1.6364353000000002E-2</v>
      </c>
      <c r="K53" s="28">
        <f t="shared" si="1"/>
        <v>3.2505557697188485E-2</v>
      </c>
      <c r="L53" s="29">
        <f t="shared" si="3"/>
        <v>0</v>
      </c>
    </row>
    <row r="54" spans="2:12" x14ac:dyDescent="0.25">
      <c r="B54" s="43" t="s">
        <v>540</v>
      </c>
      <c r="C54" s="30">
        <v>53024.761463824128</v>
      </c>
      <c r="D54" s="31">
        <v>9.0512700309999996</v>
      </c>
      <c r="E54" s="22">
        <v>53024.761500000001</v>
      </c>
      <c r="F54" s="23">
        <v>2.3115215120000001</v>
      </c>
      <c r="G54" s="24">
        <f t="shared" si="0"/>
        <v>6.8224488114864651E-10</v>
      </c>
      <c r="H54" s="25">
        <f t="shared" si="2"/>
        <v>1</v>
      </c>
      <c r="I54" s="26">
        <v>61887.035100000001</v>
      </c>
      <c r="J54" s="27">
        <v>2.5164059999999999E-2</v>
      </c>
      <c r="K54" s="28">
        <f t="shared" si="1"/>
        <v>0.16713462524903791</v>
      </c>
      <c r="L54" s="29">
        <f t="shared" si="3"/>
        <v>0</v>
      </c>
    </row>
    <row r="55" spans="2:12" x14ac:dyDescent="0.25">
      <c r="B55" s="43" t="s">
        <v>541</v>
      </c>
      <c r="C55" s="30">
        <v>48508.392618390491</v>
      </c>
      <c r="D55" s="31">
        <v>6.1500696179999998</v>
      </c>
      <c r="E55" s="22">
        <v>48508.392599999999</v>
      </c>
      <c r="F55" s="23">
        <v>2.1846316259999998</v>
      </c>
      <c r="G55" s="24">
        <f t="shared" si="0"/>
        <v>-3.7911980163014931E-10</v>
      </c>
      <c r="H55" s="25">
        <f t="shared" si="2"/>
        <v>1</v>
      </c>
      <c r="I55" s="26">
        <v>51230.290500000003</v>
      </c>
      <c r="J55" s="27">
        <v>2.3298662000000001E-2</v>
      </c>
      <c r="K55" s="28">
        <f t="shared" si="1"/>
        <v>5.6111895997510049E-2</v>
      </c>
      <c r="L55" s="29">
        <f t="shared" si="3"/>
        <v>0</v>
      </c>
    </row>
    <row r="56" spans="2:12" x14ac:dyDescent="0.25">
      <c r="B56" s="43" t="s">
        <v>542</v>
      </c>
      <c r="C56" s="30">
        <v>63296.507457576605</v>
      </c>
      <c r="D56" s="31">
        <v>2.0774420810000001</v>
      </c>
      <c r="E56" s="22">
        <v>63296.5075</v>
      </c>
      <c r="F56" s="23">
        <v>2.1439288200000002</v>
      </c>
      <c r="G56" s="24">
        <f t="shared" si="0"/>
        <v>6.7023279198377597E-10</v>
      </c>
      <c r="H56" s="25">
        <f t="shared" si="2"/>
        <v>1</v>
      </c>
      <c r="I56" s="26">
        <v>74428.777799999996</v>
      </c>
      <c r="J56" s="27">
        <v>1.8634435000000001E-2</v>
      </c>
      <c r="K56" s="28">
        <f t="shared" si="1"/>
        <v>0.17587495407838424</v>
      </c>
      <c r="L56" s="29">
        <f t="shared" si="3"/>
        <v>0</v>
      </c>
    </row>
    <row r="57" spans="2:12" x14ac:dyDescent="0.25">
      <c r="B57" s="43" t="s">
        <v>543</v>
      </c>
      <c r="C57" s="30">
        <v>47037.527700685343</v>
      </c>
      <c r="D57" s="31">
        <v>9.4271625019999998</v>
      </c>
      <c r="E57" s="22">
        <v>47037.527699999999</v>
      </c>
      <c r="F57" s="23">
        <v>2.586201569</v>
      </c>
      <c r="G57" s="24">
        <f t="shared" si="0"/>
        <v>-1.4570159382394452E-11</v>
      </c>
      <c r="H57" s="25">
        <f t="shared" si="2"/>
        <v>1</v>
      </c>
      <c r="I57" s="26">
        <v>56702.3894</v>
      </c>
      <c r="J57" s="27">
        <v>1.3540177E-2</v>
      </c>
      <c r="K57" s="28">
        <f t="shared" si="1"/>
        <v>0.20547129434215222</v>
      </c>
      <c r="L57" s="29">
        <f t="shared" si="3"/>
        <v>0</v>
      </c>
    </row>
    <row r="58" spans="2:12" x14ac:dyDescent="0.25">
      <c r="B58" s="43" t="s">
        <v>544</v>
      </c>
      <c r="C58" s="30">
        <v>41746.203258641617</v>
      </c>
      <c r="D58" s="31">
        <v>5.2133738019999996</v>
      </c>
      <c r="E58" s="22">
        <v>41746.203300000001</v>
      </c>
      <c r="F58" s="23">
        <v>2.479745833</v>
      </c>
      <c r="G58" s="24">
        <f t="shared" si="0"/>
        <v>9.9071006865118077E-10</v>
      </c>
      <c r="H58" s="25">
        <f t="shared" si="2"/>
        <v>1</v>
      </c>
      <c r="I58" s="26">
        <v>45866.062899999997</v>
      </c>
      <c r="J58" s="27">
        <v>1.3588108E-2</v>
      </c>
      <c r="K58" s="28">
        <f t="shared" si="1"/>
        <v>9.8688247547531263E-2</v>
      </c>
      <c r="L58" s="29">
        <f t="shared" si="3"/>
        <v>0</v>
      </c>
    </row>
    <row r="59" spans="2:12" x14ac:dyDescent="0.25">
      <c r="B59" s="43" t="s">
        <v>545</v>
      </c>
      <c r="C59" s="30">
        <v>39977.455695309429</v>
      </c>
      <c r="D59" s="31">
        <v>2.735921636</v>
      </c>
      <c r="E59" s="22">
        <v>39977.455699999999</v>
      </c>
      <c r="F59" s="23">
        <v>2.0524409349999999</v>
      </c>
      <c r="G59" s="24">
        <f t="shared" si="0"/>
        <v>1.1733037247323202E-10</v>
      </c>
      <c r="H59" s="25">
        <f t="shared" si="2"/>
        <v>1</v>
      </c>
      <c r="I59" s="26">
        <v>50121.9352</v>
      </c>
      <c r="J59" s="27">
        <v>0.101533584</v>
      </c>
      <c r="K59" s="28">
        <f t="shared" si="1"/>
        <v>0.25375500587149241</v>
      </c>
      <c r="L59" s="29">
        <f t="shared" si="3"/>
        <v>0</v>
      </c>
    </row>
    <row r="60" spans="2:12" x14ac:dyDescent="0.25">
      <c r="B60" s="43" t="s">
        <v>546</v>
      </c>
      <c r="C60" s="30">
        <v>40925.237292306309</v>
      </c>
      <c r="D60" s="31">
        <v>1.2305555889999999</v>
      </c>
      <c r="E60" s="22">
        <v>40925.237300000001</v>
      </c>
      <c r="F60" s="23">
        <v>2.2645455540000001</v>
      </c>
      <c r="G60" s="24">
        <f t="shared" si="0"/>
        <v>1.8799383162362031E-10</v>
      </c>
      <c r="H60" s="25">
        <f t="shared" si="2"/>
        <v>1</v>
      </c>
      <c r="I60" s="26">
        <v>42084.120300000002</v>
      </c>
      <c r="J60" s="27">
        <v>2.2383845999999999E-2</v>
      </c>
      <c r="K60" s="28">
        <f t="shared" si="1"/>
        <v>2.8317074850817216E-2</v>
      </c>
      <c r="L60" s="29">
        <f t="shared" si="3"/>
        <v>0</v>
      </c>
    </row>
    <row r="61" spans="2:12" x14ac:dyDescent="0.25">
      <c r="B61" s="43" t="s">
        <v>547</v>
      </c>
      <c r="C61" s="30">
        <v>41398.541025796025</v>
      </c>
      <c r="D61" s="31">
        <v>8.6997268309999995</v>
      </c>
      <c r="E61" s="22">
        <v>41398.540999999997</v>
      </c>
      <c r="F61" s="23">
        <v>1.8140401610000001</v>
      </c>
      <c r="G61" s="24">
        <f t="shared" si="0"/>
        <v>-6.2311440671646244E-10</v>
      </c>
      <c r="H61" s="25">
        <f t="shared" si="2"/>
        <v>1</v>
      </c>
      <c r="I61" s="26">
        <v>48608.880499999999</v>
      </c>
      <c r="J61" s="27">
        <v>2.4553417000000001E-2</v>
      </c>
      <c r="K61" s="28">
        <f t="shared" si="1"/>
        <v>0.17416892710569459</v>
      </c>
      <c r="L61" s="29">
        <f t="shared" si="3"/>
        <v>0</v>
      </c>
    </row>
    <row r="62" spans="2:12" x14ac:dyDescent="0.25">
      <c r="B62" s="43" t="s">
        <v>548</v>
      </c>
      <c r="C62" s="30">
        <v>51348.39800813808</v>
      </c>
      <c r="D62" s="31">
        <v>6.6719837950000001</v>
      </c>
      <c r="E62" s="22">
        <v>51348.398000000001</v>
      </c>
      <c r="F62" s="23">
        <v>2.1048946289999999</v>
      </c>
      <c r="G62" s="24">
        <f t="shared" si="0"/>
        <v>-1.5848748688597105E-10</v>
      </c>
      <c r="H62" s="25">
        <f t="shared" si="2"/>
        <v>1</v>
      </c>
      <c r="I62" s="26">
        <v>53647.0412</v>
      </c>
      <c r="J62" s="27">
        <v>1.8179476999999999E-2</v>
      </c>
      <c r="K62" s="28">
        <f t="shared" si="1"/>
        <v>4.4765626212868684E-2</v>
      </c>
      <c r="L62" s="29">
        <f t="shared" si="3"/>
        <v>0</v>
      </c>
    </row>
    <row r="63" spans="2:12" x14ac:dyDescent="0.25">
      <c r="B63" s="43" t="s">
        <v>549</v>
      </c>
      <c r="C63" s="30">
        <v>29061.533466920606</v>
      </c>
      <c r="D63" s="31">
        <v>2.263641502</v>
      </c>
      <c r="E63" s="22">
        <v>29061.533500000001</v>
      </c>
      <c r="F63" s="23">
        <v>2.016540607</v>
      </c>
      <c r="G63" s="24">
        <f t="shared" si="0"/>
        <v>1.1382536143484043E-9</v>
      </c>
      <c r="H63" s="25">
        <f t="shared" si="2"/>
        <v>1</v>
      </c>
      <c r="I63" s="26">
        <v>31722.288199999999</v>
      </c>
      <c r="J63" s="27">
        <v>1.3421934E-2</v>
      </c>
      <c r="K63" s="28">
        <f t="shared" si="1"/>
        <v>9.1555895909897766E-2</v>
      </c>
      <c r="L63" s="29">
        <f t="shared" si="3"/>
        <v>0</v>
      </c>
    </row>
    <row r="64" spans="2:12" x14ac:dyDescent="0.25">
      <c r="B64" s="43" t="s">
        <v>550</v>
      </c>
      <c r="C64" s="30">
        <v>29115.684241066203</v>
      </c>
      <c r="D64" s="31">
        <v>1.3042806520000001</v>
      </c>
      <c r="E64" s="22">
        <v>29115.6842</v>
      </c>
      <c r="F64" s="23">
        <v>2.3363988230000001</v>
      </c>
      <c r="G64" s="24">
        <f t="shared" si="0"/>
        <v>-1.4104495338790771E-9</v>
      </c>
      <c r="H64" s="25">
        <f t="shared" si="2"/>
        <v>1</v>
      </c>
      <c r="I64" s="26">
        <v>34277.808599999997</v>
      </c>
      <c r="J64" s="27">
        <v>1.7568745E-2</v>
      </c>
      <c r="K64" s="28">
        <f t="shared" si="1"/>
        <v>0.17729703056927915</v>
      </c>
      <c r="L64" s="29">
        <f t="shared" si="3"/>
        <v>0</v>
      </c>
    </row>
    <row r="65" spans="2:12" x14ac:dyDescent="0.25">
      <c r="B65" s="43" t="s">
        <v>551</v>
      </c>
      <c r="C65" s="30">
        <v>27438.765445064615</v>
      </c>
      <c r="D65" s="31">
        <v>1.2663541229999999</v>
      </c>
      <c r="E65" s="22">
        <v>27438.7654</v>
      </c>
      <c r="F65" s="23">
        <v>2.953720321</v>
      </c>
      <c r="G65" s="24">
        <f t="shared" si="0"/>
        <v>-1.6423703505906923E-9</v>
      </c>
      <c r="H65" s="25">
        <f t="shared" si="2"/>
        <v>1</v>
      </c>
      <c r="I65" s="26">
        <v>34974.9594</v>
      </c>
      <c r="J65" s="27">
        <v>1.7084192000000002E-2</v>
      </c>
      <c r="K65" s="28">
        <f t="shared" si="1"/>
        <v>0.27465499386346892</v>
      </c>
      <c r="L65" s="29">
        <f t="shared" si="3"/>
        <v>0</v>
      </c>
    </row>
    <row r="66" spans="2:12" x14ac:dyDescent="0.25">
      <c r="B66" s="43" t="s">
        <v>552</v>
      </c>
      <c r="C66" s="30">
        <v>42184.527084637411</v>
      </c>
      <c r="D66" s="31">
        <v>1.3856161410000001</v>
      </c>
      <c r="E66" s="22">
        <v>42184.527099999999</v>
      </c>
      <c r="F66" s="23">
        <v>3.209361291</v>
      </c>
      <c r="G66" s="24">
        <f t="shared" si="0"/>
        <v>3.6417589423252357E-10</v>
      </c>
      <c r="H66" s="25">
        <f t="shared" si="2"/>
        <v>1</v>
      </c>
      <c r="I66" s="26">
        <v>48032.717299999997</v>
      </c>
      <c r="J66" s="27">
        <v>1.8469644E-2</v>
      </c>
      <c r="K66" s="28">
        <f t="shared" si="1"/>
        <v>0.13863353744914578</v>
      </c>
      <c r="L66" s="29">
        <f t="shared" si="3"/>
        <v>0</v>
      </c>
    </row>
    <row r="67" spans="2:12" x14ac:dyDescent="0.25">
      <c r="B67" s="43" t="s">
        <v>553</v>
      </c>
      <c r="C67" s="30">
        <v>43348.151122204115</v>
      </c>
      <c r="D67" s="31">
        <v>8.3331471540000006</v>
      </c>
      <c r="E67" s="22">
        <v>43348.151100000003</v>
      </c>
      <c r="F67" s="23">
        <v>3.6127011520000001</v>
      </c>
      <c r="G67" s="24">
        <f t="shared" si="0"/>
        <v>-5.1222744306172143E-10</v>
      </c>
      <c r="H67" s="25">
        <f t="shared" si="2"/>
        <v>1</v>
      </c>
      <c r="I67" s="26">
        <v>49759.240899999997</v>
      </c>
      <c r="J67" s="27">
        <v>1.9900724000000002E-2</v>
      </c>
      <c r="K67" s="28">
        <f t="shared" si="1"/>
        <v>0.14789765219102841</v>
      </c>
      <c r="L67" s="29">
        <f t="shared" si="3"/>
        <v>0</v>
      </c>
    </row>
    <row r="68" spans="2:12" x14ac:dyDescent="0.25">
      <c r="B68" s="43" t="s">
        <v>554</v>
      </c>
      <c r="C68" s="30">
        <v>30773.620815805651</v>
      </c>
      <c r="D68" s="31">
        <v>5.6735400450000002</v>
      </c>
      <c r="E68" s="22">
        <v>30773.620800000001</v>
      </c>
      <c r="F68" s="23">
        <v>3.2788791289999999</v>
      </c>
      <c r="G68" s="24">
        <f t="shared" ref="G68:G123" si="4">(E68-C68)/C68</f>
        <v>-5.1361034606184786E-10</v>
      </c>
      <c r="H68" s="25">
        <f t="shared" si="2"/>
        <v>1</v>
      </c>
      <c r="I68" s="26">
        <v>37190.504200000003</v>
      </c>
      <c r="J68" s="27">
        <v>2.3531731E-2</v>
      </c>
      <c r="K68" s="28">
        <f t="shared" ref="K68:K123" si="5">(I68-C68)/C68</f>
        <v>0.20851895922817684</v>
      </c>
      <c r="L68" s="29">
        <f t="shared" si="3"/>
        <v>0</v>
      </c>
    </row>
    <row r="69" spans="2:12" x14ac:dyDescent="0.25">
      <c r="B69" s="43" t="s">
        <v>555</v>
      </c>
      <c r="C69" s="30">
        <v>27334.055357221143</v>
      </c>
      <c r="D69" s="31">
        <v>4.2348699239999998</v>
      </c>
      <c r="E69" s="22">
        <v>27334.055400000001</v>
      </c>
      <c r="F69" s="23">
        <v>3.2930950910000001</v>
      </c>
      <c r="G69" s="24">
        <f t="shared" si="4"/>
        <v>1.5650388362908696E-9</v>
      </c>
      <c r="H69" s="25">
        <f t="shared" ref="H69:H123" si="6">IF(G69&lt;0.000001,1,0)</f>
        <v>1</v>
      </c>
      <c r="I69" s="26">
        <v>36068.362000000001</v>
      </c>
      <c r="J69" s="27">
        <v>3.1519206000000001E-2</v>
      </c>
      <c r="K69" s="28">
        <f t="shared" si="5"/>
        <v>0.31953936320947046</v>
      </c>
      <c r="L69" s="29">
        <f t="shared" ref="L69:L123" si="7">IF(K69&lt;0.000001,1,0)</f>
        <v>0</v>
      </c>
    </row>
    <row r="70" spans="2:12" x14ac:dyDescent="0.25">
      <c r="B70" s="43" t="s">
        <v>556</v>
      </c>
      <c r="C70" s="30">
        <v>43772.767582980305</v>
      </c>
      <c r="D70" s="31">
        <v>1.333184393</v>
      </c>
      <c r="E70" s="22">
        <v>43772.767599999999</v>
      </c>
      <c r="F70" s="23">
        <v>3.1615800599999999</v>
      </c>
      <c r="G70" s="24">
        <f t="shared" si="4"/>
        <v>3.8881924621621172E-10</v>
      </c>
      <c r="H70" s="25">
        <f t="shared" si="6"/>
        <v>1</v>
      </c>
      <c r="I70" s="26">
        <v>56065.556100000002</v>
      </c>
      <c r="J70" s="27">
        <v>3.2045037999999998E-2</v>
      </c>
      <c r="K70" s="28">
        <f t="shared" si="5"/>
        <v>0.28083187780430335</v>
      </c>
      <c r="L70" s="29">
        <f t="shared" si="7"/>
        <v>0</v>
      </c>
    </row>
    <row r="71" spans="2:12" x14ac:dyDescent="0.25">
      <c r="B71" s="43" t="s">
        <v>557</v>
      </c>
      <c r="C71" s="30">
        <v>39558.488522669599</v>
      </c>
      <c r="D71" s="31">
        <v>1.3143881630000001</v>
      </c>
      <c r="E71" s="22">
        <v>39558.488499999999</v>
      </c>
      <c r="F71" s="23">
        <v>3.2002351490000001</v>
      </c>
      <c r="G71" s="24">
        <f t="shared" si="4"/>
        <v>-5.7306535516678149E-10</v>
      </c>
      <c r="H71" s="25">
        <f t="shared" si="6"/>
        <v>1</v>
      </c>
      <c r="I71" s="26">
        <v>51153.056600000004</v>
      </c>
      <c r="J71" s="27">
        <v>3.7656098999999998E-2</v>
      </c>
      <c r="K71" s="28">
        <f t="shared" si="5"/>
        <v>0.29309937033327144</v>
      </c>
      <c r="L71" s="29">
        <f t="shared" si="7"/>
        <v>0</v>
      </c>
    </row>
    <row r="72" spans="2:12" x14ac:dyDescent="0.25">
      <c r="B72" s="43" t="s">
        <v>558</v>
      </c>
      <c r="C72" s="30">
        <v>36926.43035796866</v>
      </c>
      <c r="D72" s="31">
        <v>1.5268070869999999</v>
      </c>
      <c r="E72" s="22">
        <v>36926.430399999997</v>
      </c>
      <c r="F72" s="23">
        <v>2.8828543789999999</v>
      </c>
      <c r="G72" s="24">
        <f t="shared" si="4"/>
        <v>1.1382453383274431E-9</v>
      </c>
      <c r="H72" s="25">
        <f t="shared" si="6"/>
        <v>1</v>
      </c>
      <c r="I72" s="26">
        <v>43971.138299999999</v>
      </c>
      <c r="J72" s="27">
        <v>3.1003402999999999E-2</v>
      </c>
      <c r="K72" s="28">
        <f t="shared" si="5"/>
        <v>0.1907768466580497</v>
      </c>
      <c r="L72" s="29">
        <f t="shared" si="7"/>
        <v>0</v>
      </c>
    </row>
    <row r="73" spans="2:12" x14ac:dyDescent="0.25">
      <c r="B73" s="43" t="s">
        <v>559</v>
      </c>
      <c r="C73" s="30">
        <v>51922.541177820029</v>
      </c>
      <c r="D73" s="31">
        <v>3.1150565800000001</v>
      </c>
      <c r="E73" s="22">
        <v>51922.5412</v>
      </c>
      <c r="F73" s="23">
        <v>3.0962924539999999</v>
      </c>
      <c r="G73" s="24">
        <f t="shared" si="4"/>
        <v>4.271742191403096E-10</v>
      </c>
      <c r="H73" s="25">
        <f t="shared" si="6"/>
        <v>1</v>
      </c>
      <c r="I73" s="26">
        <v>60437.190600000002</v>
      </c>
      <c r="J73" s="27">
        <v>3.3793734999999998E-2</v>
      </c>
      <c r="K73" s="28">
        <f t="shared" si="5"/>
        <v>0.16398753275614353</v>
      </c>
      <c r="L73" s="29">
        <f t="shared" si="7"/>
        <v>0</v>
      </c>
    </row>
    <row r="74" spans="2:12" x14ac:dyDescent="0.25">
      <c r="B74" s="43" t="s">
        <v>560</v>
      </c>
      <c r="C74" s="30">
        <v>36544.56596337536</v>
      </c>
      <c r="D74" s="31">
        <v>3.4416709980000002</v>
      </c>
      <c r="E74" s="22">
        <v>36544.565999999999</v>
      </c>
      <c r="F74" s="23">
        <v>4.4548243760000004</v>
      </c>
      <c r="G74" s="24">
        <f t="shared" si="4"/>
        <v>1.0021910954765345E-9</v>
      </c>
      <c r="H74" s="25">
        <f t="shared" si="6"/>
        <v>1</v>
      </c>
      <c r="I74" s="26">
        <v>48919.7863</v>
      </c>
      <c r="J74" s="27">
        <v>4.0261194E-2</v>
      </c>
      <c r="K74" s="28">
        <f t="shared" si="5"/>
        <v>0.33863366578295045</v>
      </c>
      <c r="L74" s="29">
        <f t="shared" si="7"/>
        <v>0</v>
      </c>
    </row>
    <row r="75" spans="2:12" x14ac:dyDescent="0.25">
      <c r="B75" s="43" t="s">
        <v>561</v>
      </c>
      <c r="C75" s="30">
        <v>27808.399472992787</v>
      </c>
      <c r="D75" s="31">
        <v>5.9106468239999996</v>
      </c>
      <c r="E75" s="22">
        <v>27808.3995</v>
      </c>
      <c r="F75" s="23">
        <v>4.0117410720000004</v>
      </c>
      <c r="G75" s="24">
        <f t="shared" si="4"/>
        <v>9.7118902383190221E-10</v>
      </c>
      <c r="H75" s="25">
        <f t="shared" si="6"/>
        <v>1</v>
      </c>
      <c r="I75" s="26">
        <v>36042.093500000003</v>
      </c>
      <c r="J75" s="27">
        <v>4.3980847000000003E-2</v>
      </c>
      <c r="K75" s="28">
        <f t="shared" si="5"/>
        <v>0.29608658473867538</v>
      </c>
      <c r="L75" s="29">
        <f t="shared" si="7"/>
        <v>0</v>
      </c>
    </row>
    <row r="76" spans="2:12" x14ac:dyDescent="0.25">
      <c r="B76" s="43" t="s">
        <v>562</v>
      </c>
      <c r="C76" s="30">
        <v>35913.257092652791</v>
      </c>
      <c r="D76" s="31">
        <v>1.4508536510000001</v>
      </c>
      <c r="E76" s="22">
        <v>35913.257100000003</v>
      </c>
      <c r="F76" s="23">
        <v>4.6502128540000003</v>
      </c>
      <c r="G76" s="24">
        <f t="shared" si="4"/>
        <v>2.0458214213609247E-10</v>
      </c>
      <c r="H76" s="25">
        <f t="shared" si="6"/>
        <v>1</v>
      </c>
      <c r="I76" s="26">
        <v>47258.917200000004</v>
      </c>
      <c r="J76" s="27">
        <v>4.2924666E-2</v>
      </c>
      <c r="K76" s="28">
        <f t="shared" si="5"/>
        <v>0.31591843864443947</v>
      </c>
      <c r="L76" s="29">
        <f t="shared" si="7"/>
        <v>0</v>
      </c>
    </row>
    <row r="77" spans="2:12" x14ac:dyDescent="0.25">
      <c r="B77" s="43" t="s">
        <v>563</v>
      </c>
      <c r="C77" s="30">
        <v>23287.53291598714</v>
      </c>
      <c r="D77" s="31">
        <v>1.657027765</v>
      </c>
      <c r="E77" s="22">
        <v>23287.532899999998</v>
      </c>
      <c r="F77" s="23">
        <v>4.2695723000000001</v>
      </c>
      <c r="G77" s="24">
        <f t="shared" si="4"/>
        <v>-6.8651074294498904E-10</v>
      </c>
      <c r="H77" s="25">
        <f t="shared" si="6"/>
        <v>1</v>
      </c>
      <c r="I77" s="26">
        <v>26478.5311</v>
      </c>
      <c r="J77" s="27">
        <v>6.1391946000000003E-2</v>
      </c>
      <c r="K77" s="28">
        <f t="shared" si="5"/>
        <v>0.13702603000175281</v>
      </c>
      <c r="L77" s="29">
        <f t="shared" si="7"/>
        <v>0</v>
      </c>
    </row>
    <row r="78" spans="2:12" x14ac:dyDescent="0.25">
      <c r="B78" s="43" t="s">
        <v>564</v>
      </c>
      <c r="C78" s="30">
        <v>37574.004742673846</v>
      </c>
      <c r="D78" s="31">
        <v>1.623366664</v>
      </c>
      <c r="E78" s="22">
        <v>37574.004699999998</v>
      </c>
      <c r="F78" s="23">
        <v>4.0730326479999999</v>
      </c>
      <c r="G78" s="24">
        <f t="shared" si="4"/>
        <v>-1.1357279646223872E-9</v>
      </c>
      <c r="H78" s="25">
        <f t="shared" si="6"/>
        <v>1</v>
      </c>
      <c r="I78" s="26">
        <v>47073.0239</v>
      </c>
      <c r="J78" s="27">
        <v>3.8839591999999999E-2</v>
      </c>
      <c r="K78" s="28">
        <f t="shared" si="5"/>
        <v>0.25280827056845112</v>
      </c>
      <c r="L78" s="29">
        <f t="shared" si="7"/>
        <v>0</v>
      </c>
    </row>
    <row r="79" spans="2:12" x14ac:dyDescent="0.25">
      <c r="B79" s="43" t="s">
        <v>565</v>
      </c>
      <c r="C79" s="30">
        <v>36317.094142357273</v>
      </c>
      <c r="D79" s="31">
        <v>1.6153996559999999</v>
      </c>
      <c r="E79" s="22">
        <v>36317.094100000002</v>
      </c>
      <c r="F79" s="23">
        <v>4.3177023170000002</v>
      </c>
      <c r="G79" s="24">
        <f t="shared" si="4"/>
        <v>-1.1663177358651537E-9</v>
      </c>
      <c r="H79" s="25">
        <f t="shared" si="6"/>
        <v>1</v>
      </c>
      <c r="I79" s="26">
        <v>44715.658300000003</v>
      </c>
      <c r="J79" s="27">
        <v>9.5425022999999998E-2</v>
      </c>
      <c r="K79" s="28">
        <f t="shared" si="5"/>
        <v>0.23125650209572618</v>
      </c>
      <c r="L79" s="29">
        <f t="shared" si="7"/>
        <v>0</v>
      </c>
    </row>
    <row r="80" spans="2:12" x14ac:dyDescent="0.25">
      <c r="B80" s="43" t="s">
        <v>566</v>
      </c>
      <c r="C80" s="30">
        <v>27240.423340848385</v>
      </c>
      <c r="D80" s="31">
        <v>2.7138251580000001</v>
      </c>
      <c r="E80" s="22">
        <v>27240.423299999999</v>
      </c>
      <c r="F80" s="23">
        <v>4.2603618770000002</v>
      </c>
      <c r="G80" s="24">
        <f t="shared" si="4"/>
        <v>-1.4995503575750603E-9</v>
      </c>
      <c r="H80" s="25">
        <f t="shared" si="6"/>
        <v>1</v>
      </c>
      <c r="I80" s="26">
        <v>33773.174599999998</v>
      </c>
      <c r="J80" s="27">
        <v>2.2276984E-2</v>
      </c>
      <c r="K80" s="28">
        <f t="shared" si="5"/>
        <v>0.23981827218358329</v>
      </c>
      <c r="L80" s="29">
        <f t="shared" si="7"/>
        <v>0</v>
      </c>
    </row>
    <row r="81" spans="2:12" x14ac:dyDescent="0.25">
      <c r="B81" s="43" t="s">
        <v>567</v>
      </c>
      <c r="C81" s="30">
        <v>38508.284711753193</v>
      </c>
      <c r="D81" s="31">
        <v>7.8720102970000001</v>
      </c>
      <c r="E81" s="22">
        <v>38508.284699999997</v>
      </c>
      <c r="F81" s="23">
        <v>4.2230820649999998</v>
      </c>
      <c r="G81" s="24">
        <f t="shared" si="4"/>
        <v>-3.0521214829937977E-10</v>
      </c>
      <c r="H81" s="25">
        <f t="shared" si="6"/>
        <v>1</v>
      </c>
      <c r="I81" s="26">
        <v>47407.309699999998</v>
      </c>
      <c r="J81" s="27">
        <v>2.1142714999999999E-2</v>
      </c>
      <c r="K81" s="28">
        <f t="shared" si="5"/>
        <v>0.23109377773792961</v>
      </c>
      <c r="L81" s="29">
        <f t="shared" si="7"/>
        <v>0</v>
      </c>
    </row>
    <row r="82" spans="2:12" x14ac:dyDescent="0.25">
      <c r="B82" s="43" t="s">
        <v>568</v>
      </c>
      <c r="C82" s="30">
        <v>41403.005056370959</v>
      </c>
      <c r="D82" s="31">
        <v>4.4147681439999999</v>
      </c>
      <c r="E82" s="22">
        <v>41403.005100000002</v>
      </c>
      <c r="F82" s="23">
        <v>4.4568970109999997</v>
      </c>
      <c r="G82" s="24">
        <f t="shared" si="4"/>
        <v>1.0537651279479533E-9</v>
      </c>
      <c r="H82" s="25">
        <f t="shared" si="6"/>
        <v>1</v>
      </c>
      <c r="I82" s="26">
        <v>49954.091899999999</v>
      </c>
      <c r="J82" s="27">
        <v>1.9102477E-2</v>
      </c>
      <c r="K82" s="28">
        <f t="shared" si="5"/>
        <v>0.206533000007767</v>
      </c>
      <c r="L82" s="29">
        <f t="shared" si="7"/>
        <v>0</v>
      </c>
    </row>
    <row r="83" spans="2:12" x14ac:dyDescent="0.25">
      <c r="B83" s="43" t="s">
        <v>569</v>
      </c>
      <c r="C83" s="30">
        <v>26468.936507588292</v>
      </c>
      <c r="D83" s="31">
        <v>1.5339058249999999</v>
      </c>
      <c r="E83" s="22">
        <v>26468.9365</v>
      </c>
      <c r="F83" s="23">
        <v>4.2242725429999997</v>
      </c>
      <c r="G83" s="24">
        <f t="shared" si="4"/>
        <v>-2.8668672217004318E-10</v>
      </c>
      <c r="H83" s="25">
        <f t="shared" si="6"/>
        <v>1</v>
      </c>
      <c r="I83" s="26">
        <v>32077.166099999999</v>
      </c>
      <c r="J83" s="27">
        <v>1.9660420000000001E-2</v>
      </c>
      <c r="K83" s="28">
        <f t="shared" si="5"/>
        <v>0.21187967226427482</v>
      </c>
      <c r="L83" s="29">
        <f t="shared" si="7"/>
        <v>0</v>
      </c>
    </row>
    <row r="84" spans="2:12" x14ac:dyDescent="0.25">
      <c r="B84" s="43" t="s">
        <v>570</v>
      </c>
      <c r="C84" s="30">
        <v>27981.745870412051</v>
      </c>
      <c r="D84" s="31">
        <v>5.6115276840000003</v>
      </c>
      <c r="E84" s="22">
        <v>27981.745900000002</v>
      </c>
      <c r="F84" s="23">
        <v>1.2304450650000001</v>
      </c>
      <c r="G84" s="24">
        <f t="shared" si="4"/>
        <v>1.0574018856984538E-9</v>
      </c>
      <c r="H84" s="25">
        <f t="shared" si="6"/>
        <v>1</v>
      </c>
      <c r="I84" s="26">
        <v>29912.744999999999</v>
      </c>
      <c r="J84" s="27">
        <v>1.0863418999999999E-2</v>
      </c>
      <c r="K84" s="28">
        <f t="shared" si="5"/>
        <v>6.9009244045411408E-2</v>
      </c>
      <c r="L84" s="29">
        <f t="shared" si="7"/>
        <v>0</v>
      </c>
    </row>
    <row r="85" spans="2:12" x14ac:dyDescent="0.25">
      <c r="B85" s="43" t="s">
        <v>571</v>
      </c>
      <c r="C85" s="30">
        <v>30892.960285260669</v>
      </c>
      <c r="D85" s="31">
        <v>1.2374114899999999</v>
      </c>
      <c r="E85" s="22">
        <v>30892.960299999999</v>
      </c>
      <c r="F85" s="23">
        <v>1.2344501029999999</v>
      </c>
      <c r="G85" s="24">
        <f t="shared" si="4"/>
        <v>4.7710964596763701E-10</v>
      </c>
      <c r="H85" s="25">
        <f t="shared" si="6"/>
        <v>1</v>
      </c>
      <c r="I85" s="26">
        <v>30892.960299999999</v>
      </c>
      <c r="J85" s="27">
        <v>9.7604489999999992E-3</v>
      </c>
      <c r="K85" s="28">
        <f t="shared" si="5"/>
        <v>4.7710964596763701E-10</v>
      </c>
      <c r="L85" s="29">
        <f t="shared" si="7"/>
        <v>1</v>
      </c>
    </row>
    <row r="86" spans="2:12" x14ac:dyDescent="0.25">
      <c r="B86" s="43" t="s">
        <v>572</v>
      </c>
      <c r="C86" s="30">
        <v>28720.061266781217</v>
      </c>
      <c r="D86" s="31">
        <v>1.1435861789999999</v>
      </c>
      <c r="E86" s="22">
        <v>28720.061300000001</v>
      </c>
      <c r="F86" s="23">
        <v>1.2152514679999999</v>
      </c>
      <c r="G86" s="24">
        <f t="shared" si="4"/>
        <v>1.1566404527014503E-9</v>
      </c>
      <c r="H86" s="25">
        <f t="shared" si="6"/>
        <v>1</v>
      </c>
      <c r="I86" s="26">
        <v>30901.374599999999</v>
      </c>
      <c r="J86" s="27">
        <v>1.0858428999999999E-2</v>
      </c>
      <c r="K86" s="28">
        <f t="shared" si="5"/>
        <v>7.5950859329878162E-2</v>
      </c>
      <c r="L86" s="29">
        <f t="shared" si="7"/>
        <v>0</v>
      </c>
    </row>
    <row r="87" spans="2:12" x14ac:dyDescent="0.25">
      <c r="B87" s="43" t="s">
        <v>573</v>
      </c>
      <c r="C87" s="30">
        <v>24034.879116269753</v>
      </c>
      <c r="D87" s="31">
        <v>1.2312369620000001</v>
      </c>
      <c r="E87" s="22">
        <v>24034.879099999998</v>
      </c>
      <c r="F87" s="23">
        <v>1.27671209</v>
      </c>
      <c r="G87" s="24">
        <f t="shared" si="4"/>
        <v>-6.769226585436399E-10</v>
      </c>
      <c r="H87" s="25">
        <f t="shared" si="6"/>
        <v>1</v>
      </c>
      <c r="I87" s="26">
        <v>26100.420399999999</v>
      </c>
      <c r="J87" s="27">
        <v>9.5902069999999999E-3</v>
      </c>
      <c r="K87" s="28">
        <f t="shared" si="5"/>
        <v>8.5939324834466715E-2</v>
      </c>
      <c r="L87" s="29">
        <f t="shared" si="7"/>
        <v>0</v>
      </c>
    </row>
    <row r="88" spans="2:12" x14ac:dyDescent="0.25">
      <c r="B88" s="43" t="s">
        <v>574</v>
      </c>
      <c r="C88" s="30">
        <v>20899.626627745958</v>
      </c>
      <c r="D88" s="31">
        <v>1.1443585919999999</v>
      </c>
      <c r="E88" s="22">
        <v>20899.6266</v>
      </c>
      <c r="F88" s="23">
        <v>1.2860460250000001</v>
      </c>
      <c r="G88" s="24">
        <f t="shared" si="4"/>
        <v>-1.3275815400515581E-9</v>
      </c>
      <c r="H88" s="25">
        <f t="shared" si="6"/>
        <v>1</v>
      </c>
      <c r="I88" s="26">
        <v>20899.6266</v>
      </c>
      <c r="J88" s="27">
        <v>9.784704E-3</v>
      </c>
      <c r="K88" s="28">
        <f t="shared" si="5"/>
        <v>-1.3275815400515581E-9</v>
      </c>
      <c r="L88" s="29">
        <f t="shared" si="7"/>
        <v>1</v>
      </c>
    </row>
    <row r="89" spans="2:12" x14ac:dyDescent="0.25">
      <c r="B89" s="43" t="s">
        <v>575</v>
      </c>
      <c r="C89" s="30">
        <v>21741.283943892111</v>
      </c>
      <c r="D89" s="31">
        <v>1.1567564809999999</v>
      </c>
      <c r="E89" s="22">
        <v>21741.283899999999</v>
      </c>
      <c r="F89" s="23">
        <v>1.1436222410000001</v>
      </c>
      <c r="G89" s="24">
        <f t="shared" si="4"/>
        <v>-2.0188371835549186E-9</v>
      </c>
      <c r="H89" s="25">
        <f t="shared" si="6"/>
        <v>1</v>
      </c>
      <c r="I89" s="26">
        <v>22827.186799999999</v>
      </c>
      <c r="J89" s="27">
        <v>9.3550030000000006E-3</v>
      </c>
      <c r="K89" s="28">
        <f t="shared" si="5"/>
        <v>4.994658360151525E-2</v>
      </c>
      <c r="L89" s="29">
        <f t="shared" si="7"/>
        <v>0</v>
      </c>
    </row>
    <row r="90" spans="2:12" x14ac:dyDescent="0.25">
      <c r="B90" s="43" t="s">
        <v>576</v>
      </c>
      <c r="C90" s="30">
        <v>29309.542564157393</v>
      </c>
      <c r="D90" s="31">
        <v>1.26926794</v>
      </c>
      <c r="E90" s="22">
        <v>29309.542600000001</v>
      </c>
      <c r="F90" s="23">
        <v>1.3097884529999999</v>
      </c>
      <c r="G90" s="24">
        <f t="shared" si="4"/>
        <v>1.2228989135460837E-9</v>
      </c>
      <c r="H90" s="25">
        <f t="shared" si="6"/>
        <v>1</v>
      </c>
      <c r="I90" s="26">
        <v>32393.861400000002</v>
      </c>
      <c r="J90" s="27">
        <v>1.0788166E-2</v>
      </c>
      <c r="K90" s="28">
        <f t="shared" si="5"/>
        <v>0.10523258181498946</v>
      </c>
      <c r="L90" s="29">
        <f t="shared" si="7"/>
        <v>0</v>
      </c>
    </row>
    <row r="91" spans="2:12" x14ac:dyDescent="0.25">
      <c r="B91" s="43" t="s">
        <v>577</v>
      </c>
      <c r="C91" s="30">
        <v>31142.433849861249</v>
      </c>
      <c r="D91" s="31">
        <v>1.2894208110000001</v>
      </c>
      <c r="E91" s="22">
        <v>31142.433799999999</v>
      </c>
      <c r="F91" s="23">
        <v>1.453169876</v>
      </c>
      <c r="G91" s="24">
        <f t="shared" si="4"/>
        <v>-1.6010710692540249E-9</v>
      </c>
      <c r="H91" s="25">
        <f t="shared" si="6"/>
        <v>1</v>
      </c>
      <c r="I91" s="26">
        <v>34337.991699999999</v>
      </c>
      <c r="J91" s="27">
        <v>9.4946079999999999E-3</v>
      </c>
      <c r="K91" s="28">
        <f t="shared" si="5"/>
        <v>0.10261105042543062</v>
      </c>
      <c r="L91" s="29">
        <f t="shared" si="7"/>
        <v>0</v>
      </c>
    </row>
    <row r="92" spans="2:12" x14ac:dyDescent="0.25">
      <c r="B92" s="43" t="s">
        <v>578</v>
      </c>
      <c r="C92" s="30">
        <v>25010.020852946756</v>
      </c>
      <c r="D92" s="31">
        <v>1.208827308</v>
      </c>
      <c r="E92" s="22">
        <v>25010.0209</v>
      </c>
      <c r="F92" s="23">
        <v>1.330677355</v>
      </c>
      <c r="G92" s="24">
        <f t="shared" si="4"/>
        <v>1.8813756076322154E-9</v>
      </c>
      <c r="H92" s="25">
        <f t="shared" si="6"/>
        <v>1</v>
      </c>
      <c r="I92" s="26">
        <v>26846.310399999998</v>
      </c>
      <c r="J92" s="27">
        <v>1.080036E-2</v>
      </c>
      <c r="K92" s="28">
        <f t="shared" si="5"/>
        <v>7.342215177868934E-2</v>
      </c>
      <c r="L92" s="29">
        <f t="shared" si="7"/>
        <v>0</v>
      </c>
    </row>
    <row r="93" spans="2:12" x14ac:dyDescent="0.25">
      <c r="B93" s="43" t="s">
        <v>579</v>
      </c>
      <c r="C93" s="30">
        <v>24596.324298867759</v>
      </c>
      <c r="D93" s="31">
        <v>1.071530248</v>
      </c>
      <c r="E93" s="22">
        <v>24596.3243</v>
      </c>
      <c r="F93" s="23">
        <v>1.209789872</v>
      </c>
      <c r="G93" s="24">
        <f t="shared" si="4"/>
        <v>4.6032929734369293E-11</v>
      </c>
      <c r="H93" s="25">
        <f t="shared" si="6"/>
        <v>1</v>
      </c>
      <c r="I93" s="26">
        <v>26017.766800000001</v>
      </c>
      <c r="J93" s="27">
        <v>9.8446469999999998E-3</v>
      </c>
      <c r="K93" s="28">
        <f t="shared" si="5"/>
        <v>5.7790850529551484E-2</v>
      </c>
      <c r="L93" s="29">
        <f t="shared" si="7"/>
        <v>0</v>
      </c>
    </row>
    <row r="94" spans="2:12" x14ac:dyDescent="0.25">
      <c r="B94" s="43" t="s">
        <v>580</v>
      </c>
      <c r="C94" s="30">
        <v>22487.201662203515</v>
      </c>
      <c r="D94" s="31">
        <v>1.226305462</v>
      </c>
      <c r="E94" s="22">
        <v>22487.201700000001</v>
      </c>
      <c r="F94" s="23">
        <v>2.1165135290000001</v>
      </c>
      <c r="G94" s="24">
        <f t="shared" si="4"/>
        <v>1.6807998926573555E-9</v>
      </c>
      <c r="H94" s="25">
        <f t="shared" si="6"/>
        <v>1</v>
      </c>
      <c r="I94" s="26">
        <v>24620.389599999999</v>
      </c>
      <c r="J94" s="27">
        <v>1.4158944999999999E-2</v>
      </c>
      <c r="K94" s="28">
        <f t="shared" si="5"/>
        <v>9.4862311898147172E-2</v>
      </c>
      <c r="L94" s="29">
        <f t="shared" si="7"/>
        <v>0</v>
      </c>
    </row>
    <row r="95" spans="2:12" x14ac:dyDescent="0.25">
      <c r="B95" s="43" t="s">
        <v>581</v>
      </c>
      <c r="C95" s="30">
        <v>30970.728130180298</v>
      </c>
      <c r="D95" s="31">
        <v>3.6660786270000001</v>
      </c>
      <c r="E95" s="22">
        <v>30970.7281</v>
      </c>
      <c r="F95" s="23">
        <v>1.932191451</v>
      </c>
      <c r="G95" s="24">
        <f t="shared" si="4"/>
        <v>-9.7447813770983582E-10</v>
      </c>
      <c r="H95" s="25">
        <f t="shared" si="6"/>
        <v>1</v>
      </c>
      <c r="I95" s="26">
        <v>34168.624000000003</v>
      </c>
      <c r="J95" s="27">
        <v>1.299582E-2</v>
      </c>
      <c r="K95" s="28">
        <f t="shared" si="5"/>
        <v>0.10325543062397122</v>
      </c>
      <c r="L95" s="29">
        <f t="shared" si="7"/>
        <v>0</v>
      </c>
    </row>
    <row r="96" spans="2:12" x14ac:dyDescent="0.25">
      <c r="B96" s="43" t="s">
        <v>582</v>
      </c>
      <c r="C96" s="30">
        <v>21341.08167619674</v>
      </c>
      <c r="D96" s="31">
        <v>6.981299581</v>
      </c>
      <c r="E96" s="22">
        <v>21341.081699999999</v>
      </c>
      <c r="F96" s="23">
        <v>2.2084718570000001</v>
      </c>
      <c r="G96" s="24">
        <f t="shared" si="4"/>
        <v>1.1153726561837074E-9</v>
      </c>
      <c r="H96" s="25">
        <f t="shared" si="6"/>
        <v>1</v>
      </c>
      <c r="I96" s="26">
        <v>23313.419399999999</v>
      </c>
      <c r="J96" s="27">
        <v>1.4467215E-2</v>
      </c>
      <c r="K96" s="28">
        <f t="shared" si="5"/>
        <v>9.2419763615035067E-2</v>
      </c>
      <c r="L96" s="29">
        <f t="shared" si="7"/>
        <v>0</v>
      </c>
    </row>
    <row r="97" spans="2:12" x14ac:dyDescent="0.25">
      <c r="B97" s="43" t="s">
        <v>583</v>
      </c>
      <c r="C97" s="30">
        <v>34293.963463137006</v>
      </c>
      <c r="D97" s="31">
        <v>2.2782332869999999</v>
      </c>
      <c r="E97" s="22">
        <v>34293.963499999998</v>
      </c>
      <c r="F97" s="23">
        <v>2.0080143499999998</v>
      </c>
      <c r="G97" s="24">
        <f t="shared" si="4"/>
        <v>1.074911966114886E-9</v>
      </c>
      <c r="H97" s="25">
        <f t="shared" si="6"/>
        <v>1</v>
      </c>
      <c r="I97" s="26">
        <v>41456.119400000003</v>
      </c>
      <c r="J97" s="27">
        <v>1.3967993999999999E-2</v>
      </c>
      <c r="K97" s="28">
        <f t="shared" si="5"/>
        <v>0.20884596627513424</v>
      </c>
      <c r="L97" s="29">
        <f t="shared" si="7"/>
        <v>0</v>
      </c>
    </row>
    <row r="98" spans="2:12" x14ac:dyDescent="0.25">
      <c r="B98" s="43" t="s">
        <v>584</v>
      </c>
      <c r="C98" s="30">
        <v>24040.63726972344</v>
      </c>
      <c r="D98" s="31">
        <v>7.8481875590000003</v>
      </c>
      <c r="E98" s="22">
        <v>24040.637299999999</v>
      </c>
      <c r="F98" s="23">
        <v>2.129913336</v>
      </c>
      <c r="G98" s="24">
        <f t="shared" si="4"/>
        <v>1.2593908410731435E-9</v>
      </c>
      <c r="H98" s="25">
        <f t="shared" si="6"/>
        <v>1</v>
      </c>
      <c r="I98" s="26">
        <v>24178.682100000002</v>
      </c>
      <c r="J98" s="27">
        <v>1.4872158999999999E-2</v>
      </c>
      <c r="K98" s="28">
        <f t="shared" si="5"/>
        <v>5.7421452155269649E-3</v>
      </c>
      <c r="L98" s="29">
        <f t="shared" si="7"/>
        <v>0</v>
      </c>
    </row>
    <row r="99" spans="2:12" x14ac:dyDescent="0.25">
      <c r="B99" s="43" t="s">
        <v>585</v>
      </c>
      <c r="C99" s="30">
        <v>33507.589872806246</v>
      </c>
      <c r="D99" s="31">
        <v>1.970614869</v>
      </c>
      <c r="E99" s="22">
        <v>33507.589899999999</v>
      </c>
      <c r="F99" s="23">
        <v>1.839603219</v>
      </c>
      <c r="G99" s="24">
        <f t="shared" si="4"/>
        <v>8.115699590165248E-10</v>
      </c>
      <c r="H99" s="25">
        <f t="shared" si="6"/>
        <v>1</v>
      </c>
      <c r="I99" s="26">
        <v>33905.874100000001</v>
      </c>
      <c r="J99" s="27">
        <v>1.3661504999999999E-2</v>
      </c>
      <c r="K99" s="28">
        <f t="shared" si="5"/>
        <v>1.1886388388589856E-2</v>
      </c>
      <c r="L99" s="29">
        <f t="shared" si="7"/>
        <v>0</v>
      </c>
    </row>
    <row r="100" spans="2:12" x14ac:dyDescent="0.25">
      <c r="B100" s="43" t="s">
        <v>586</v>
      </c>
      <c r="C100" s="30">
        <v>23629.172969038133</v>
      </c>
      <c r="D100" s="31">
        <v>1.240618979</v>
      </c>
      <c r="E100" s="22">
        <v>23629.172999999999</v>
      </c>
      <c r="F100" s="23">
        <v>2.0256682439999998</v>
      </c>
      <c r="G100" s="24">
        <f t="shared" si="4"/>
        <v>1.310323739531051E-9</v>
      </c>
      <c r="H100" s="25">
        <f t="shared" si="6"/>
        <v>1</v>
      </c>
      <c r="I100" s="26">
        <v>24069.054499999998</v>
      </c>
      <c r="J100" s="27">
        <v>1.4820663E-2</v>
      </c>
      <c r="K100" s="28">
        <f t="shared" si="5"/>
        <v>1.8616035844261372E-2</v>
      </c>
      <c r="L100" s="29">
        <f t="shared" si="7"/>
        <v>0</v>
      </c>
    </row>
    <row r="101" spans="2:12" x14ac:dyDescent="0.25">
      <c r="B101" s="43" t="s">
        <v>587</v>
      </c>
      <c r="C101" s="30">
        <v>26469.233124904913</v>
      </c>
      <c r="D101" s="31">
        <v>1.1977799730000001</v>
      </c>
      <c r="E101" s="22">
        <v>26469.233100000001</v>
      </c>
      <c r="F101" s="23">
        <v>1.9458657850000001</v>
      </c>
      <c r="G101" s="24">
        <f t="shared" si="4"/>
        <v>-9.40900387247845E-10</v>
      </c>
      <c r="H101" s="25">
        <f t="shared" si="6"/>
        <v>1</v>
      </c>
      <c r="I101" s="26">
        <v>27437.395</v>
      </c>
      <c r="J101" s="27">
        <v>1.3028893E-2</v>
      </c>
      <c r="K101" s="28">
        <f t="shared" si="5"/>
        <v>3.6576876652468768E-2</v>
      </c>
      <c r="L101" s="29">
        <f t="shared" si="7"/>
        <v>0</v>
      </c>
    </row>
    <row r="102" spans="2:12" x14ac:dyDescent="0.25">
      <c r="B102" s="43" t="s">
        <v>588</v>
      </c>
      <c r="C102" s="30">
        <v>26039.211703197318</v>
      </c>
      <c r="D102" s="31">
        <v>7.0040017800000003</v>
      </c>
      <c r="E102" s="22">
        <v>26039.2117</v>
      </c>
      <c r="F102" s="23">
        <v>2.0261467930000001</v>
      </c>
      <c r="G102" s="24">
        <f t="shared" si="4"/>
        <v>-1.2278857542195541E-10</v>
      </c>
      <c r="H102" s="25">
        <f t="shared" si="6"/>
        <v>1</v>
      </c>
      <c r="I102" s="26">
        <v>29146.7189</v>
      </c>
      <c r="J102" s="27">
        <v>1.2798937999999999E-2</v>
      </c>
      <c r="K102" s="28">
        <f t="shared" si="5"/>
        <v>0.11933952656566466</v>
      </c>
      <c r="L102" s="29">
        <f t="shared" si="7"/>
        <v>0</v>
      </c>
    </row>
    <row r="103" spans="2:12" x14ac:dyDescent="0.25">
      <c r="B103" s="43" t="s">
        <v>589</v>
      </c>
      <c r="C103" s="30">
        <v>25852.56514107576</v>
      </c>
      <c r="D103" s="31">
        <v>2.7205186760000002</v>
      </c>
      <c r="E103" s="22">
        <v>25852.5651</v>
      </c>
      <c r="F103" s="23">
        <v>2.202449487</v>
      </c>
      <c r="G103" s="24">
        <f t="shared" si="4"/>
        <v>-1.5888466004267161E-9</v>
      </c>
      <c r="H103" s="25">
        <f t="shared" si="6"/>
        <v>1</v>
      </c>
      <c r="I103" s="26">
        <v>30438.333299999998</v>
      </c>
      <c r="J103" s="27">
        <v>1.4138014000000001E-2</v>
      </c>
      <c r="K103" s="28">
        <f t="shared" si="5"/>
        <v>0.17738155319984694</v>
      </c>
      <c r="L103" s="29">
        <f t="shared" si="7"/>
        <v>0</v>
      </c>
    </row>
    <row r="104" spans="2:12" x14ac:dyDescent="0.25">
      <c r="B104" s="43" t="s">
        <v>590</v>
      </c>
      <c r="C104" s="30">
        <v>24750.236508530175</v>
      </c>
      <c r="D104" s="31">
        <v>8.7951517930000005</v>
      </c>
      <c r="E104" s="22">
        <v>24750.236499999999</v>
      </c>
      <c r="F104" s="23">
        <v>3.2359615310000001</v>
      </c>
      <c r="G104" s="24">
        <f t="shared" si="4"/>
        <v>-3.4465029337558113E-10</v>
      </c>
      <c r="H104" s="25">
        <f t="shared" si="6"/>
        <v>1</v>
      </c>
      <c r="I104" s="26">
        <v>29911.348600000001</v>
      </c>
      <c r="J104" s="27">
        <v>1.6200354E-2</v>
      </c>
      <c r="K104" s="28">
        <f t="shared" si="5"/>
        <v>0.20852778880278769</v>
      </c>
      <c r="L104" s="29">
        <f t="shared" si="7"/>
        <v>0</v>
      </c>
    </row>
    <row r="105" spans="2:12" x14ac:dyDescent="0.25">
      <c r="B105" s="43" t="s">
        <v>591</v>
      </c>
      <c r="C105" s="30">
        <v>19320.784076296848</v>
      </c>
      <c r="D105" s="31">
        <v>1.4887148809999999</v>
      </c>
      <c r="E105" s="22">
        <v>19320.784100000001</v>
      </c>
      <c r="F105" s="23">
        <v>2.7585686379999999</v>
      </c>
      <c r="G105" s="24">
        <f t="shared" si="4"/>
        <v>1.2268214684546784E-9</v>
      </c>
      <c r="H105" s="25">
        <f t="shared" si="6"/>
        <v>1</v>
      </c>
      <c r="I105" s="26">
        <v>22166.044300000001</v>
      </c>
      <c r="J105" s="27">
        <v>1.5578242000000001E-2</v>
      </c>
      <c r="K105" s="28">
        <f t="shared" si="5"/>
        <v>0.14726422139326009</v>
      </c>
      <c r="L105" s="29">
        <f t="shared" si="7"/>
        <v>0</v>
      </c>
    </row>
    <row r="106" spans="2:12" x14ac:dyDescent="0.25">
      <c r="B106" s="43" t="s">
        <v>592</v>
      </c>
      <c r="C106" s="30">
        <v>16070.751821523012</v>
      </c>
      <c r="D106" s="31">
        <v>8.7951491340000008</v>
      </c>
      <c r="E106" s="22">
        <v>16070.7518</v>
      </c>
      <c r="F106" s="23">
        <v>2.7387055820000001</v>
      </c>
      <c r="G106" s="24">
        <f t="shared" si="4"/>
        <v>-1.3392660328859262E-9</v>
      </c>
      <c r="H106" s="25">
        <f t="shared" si="6"/>
        <v>1</v>
      </c>
      <c r="I106" s="26">
        <v>19520.868299999998</v>
      </c>
      <c r="J106" s="27">
        <v>1.5636279999999999E-2</v>
      </c>
      <c r="K106" s="28">
        <f t="shared" si="5"/>
        <v>0.21468295427575221</v>
      </c>
      <c r="L106" s="29">
        <f t="shared" si="7"/>
        <v>0</v>
      </c>
    </row>
    <row r="107" spans="2:12" x14ac:dyDescent="0.25">
      <c r="B107" s="43" t="s">
        <v>593</v>
      </c>
      <c r="C107" s="30">
        <v>27045.857530810121</v>
      </c>
      <c r="D107" s="31">
        <v>10.043757555999999</v>
      </c>
      <c r="E107" s="22">
        <v>27045.857499999998</v>
      </c>
      <c r="F107" s="23">
        <v>2.7846647990000002</v>
      </c>
      <c r="G107" s="24">
        <f t="shared" si="4"/>
        <v>-1.1391808345398246E-9</v>
      </c>
      <c r="H107" s="25">
        <f t="shared" si="6"/>
        <v>1</v>
      </c>
      <c r="I107" s="26">
        <v>33046.370300000002</v>
      </c>
      <c r="J107" s="27">
        <v>1.7938842999999999E-2</v>
      </c>
      <c r="K107" s="28">
        <f t="shared" si="5"/>
        <v>0.22186439318310439</v>
      </c>
      <c r="L107" s="29">
        <f t="shared" si="7"/>
        <v>0</v>
      </c>
    </row>
    <row r="108" spans="2:12" x14ac:dyDescent="0.25">
      <c r="B108" s="43" t="s">
        <v>594</v>
      </c>
      <c r="C108" s="30">
        <v>20068.379458735439</v>
      </c>
      <c r="D108" s="31">
        <v>3.5245207239999998</v>
      </c>
      <c r="E108" s="22">
        <v>20068.379499999999</v>
      </c>
      <c r="F108" s="23">
        <v>2.993093478</v>
      </c>
      <c r="G108" s="24">
        <f t="shared" si="4"/>
        <v>2.0561979360470134E-9</v>
      </c>
      <c r="H108" s="25">
        <f t="shared" si="6"/>
        <v>1</v>
      </c>
      <c r="I108" s="26">
        <v>20774.796200000001</v>
      </c>
      <c r="J108" s="27">
        <v>1.7332429E-2</v>
      </c>
      <c r="K108" s="28">
        <f t="shared" si="5"/>
        <v>3.5200487548937107E-2</v>
      </c>
      <c r="L108" s="29">
        <f t="shared" si="7"/>
        <v>0</v>
      </c>
    </row>
    <row r="109" spans="2:12" x14ac:dyDescent="0.25">
      <c r="B109" s="43" t="s">
        <v>595</v>
      </c>
      <c r="C109" s="30">
        <v>19493.142260371798</v>
      </c>
      <c r="D109" s="31">
        <v>1.348088537</v>
      </c>
      <c r="E109" s="22">
        <v>19493.1423</v>
      </c>
      <c r="F109" s="23">
        <v>2.8970266470000001</v>
      </c>
      <c r="G109" s="24">
        <f t="shared" si="4"/>
        <v>2.0329303846497042E-9</v>
      </c>
      <c r="H109" s="25">
        <f t="shared" si="6"/>
        <v>1</v>
      </c>
      <c r="I109" s="26">
        <v>23785.376899999999</v>
      </c>
      <c r="J109" s="27">
        <v>1.7175905000000002E-2</v>
      </c>
      <c r="K109" s="28">
        <f t="shared" si="5"/>
        <v>0.22019203380842375</v>
      </c>
      <c r="L109" s="29">
        <f t="shared" si="7"/>
        <v>0</v>
      </c>
    </row>
    <row r="110" spans="2:12" x14ac:dyDescent="0.25">
      <c r="B110" s="43" t="s">
        <v>596</v>
      </c>
      <c r="C110" s="30">
        <v>22032.035852535686</v>
      </c>
      <c r="D110" s="31">
        <v>2.7077291149999998</v>
      </c>
      <c r="E110" s="22">
        <v>22032.035899999999</v>
      </c>
      <c r="F110" s="23">
        <v>3.3307341990000001</v>
      </c>
      <c r="G110" s="24">
        <f t="shared" si="4"/>
        <v>2.1543316865550986E-9</v>
      </c>
      <c r="H110" s="25">
        <f t="shared" si="6"/>
        <v>1</v>
      </c>
      <c r="I110" s="26">
        <v>25302.423699999999</v>
      </c>
      <c r="J110" s="27">
        <v>1.8572838000000001E-2</v>
      </c>
      <c r="K110" s="28">
        <f t="shared" si="5"/>
        <v>0.14843784157549478</v>
      </c>
      <c r="L110" s="29">
        <f t="shared" si="7"/>
        <v>0</v>
      </c>
    </row>
    <row r="111" spans="2:12" x14ac:dyDescent="0.25">
      <c r="B111" s="43" t="s">
        <v>597</v>
      </c>
      <c r="C111" s="30">
        <v>22489.05660037234</v>
      </c>
      <c r="D111" s="31">
        <v>1.3317144510000001</v>
      </c>
      <c r="E111" s="22">
        <v>22489.0566</v>
      </c>
      <c r="F111" s="23">
        <v>3.2357352060000002</v>
      </c>
      <c r="G111" s="24">
        <f t="shared" si="4"/>
        <v>-1.6556490632962255E-11</v>
      </c>
      <c r="H111" s="25">
        <f t="shared" si="6"/>
        <v>1</v>
      </c>
      <c r="I111" s="26">
        <v>27566.429100000001</v>
      </c>
      <c r="J111" s="27">
        <v>1.666494E-2</v>
      </c>
      <c r="K111" s="28">
        <f t="shared" si="5"/>
        <v>0.22577080888060008</v>
      </c>
      <c r="L111" s="29">
        <f t="shared" si="7"/>
        <v>0</v>
      </c>
    </row>
    <row r="112" spans="2:12" x14ac:dyDescent="0.25">
      <c r="B112" s="43" t="s">
        <v>598</v>
      </c>
      <c r="C112" s="30">
        <v>21457.762834979007</v>
      </c>
      <c r="D112" s="31">
        <v>1.3570854240000001</v>
      </c>
      <c r="E112" s="22">
        <v>21457.7628</v>
      </c>
      <c r="F112" s="23">
        <v>2.8964521780000001</v>
      </c>
      <c r="G112" s="24">
        <f t="shared" si="4"/>
        <v>-1.6301329466694858E-9</v>
      </c>
      <c r="H112" s="25">
        <f t="shared" si="6"/>
        <v>1</v>
      </c>
      <c r="I112" s="26">
        <v>31390.1332</v>
      </c>
      <c r="J112" s="27">
        <v>1.7950454000000001E-2</v>
      </c>
      <c r="K112" s="28">
        <f t="shared" si="5"/>
        <v>0.46288005144832289</v>
      </c>
      <c r="L112" s="29">
        <f t="shared" si="7"/>
        <v>0</v>
      </c>
    </row>
    <row r="113" spans="2:12" x14ac:dyDescent="0.25">
      <c r="B113" s="43" t="s">
        <v>599</v>
      </c>
      <c r="C113" s="30">
        <v>16986.283823846396</v>
      </c>
      <c r="D113" s="31">
        <v>1.416599564</v>
      </c>
      <c r="E113" s="22">
        <v>16986.283800000001</v>
      </c>
      <c r="F113" s="23">
        <v>3.4610308179999998</v>
      </c>
      <c r="G113" s="24">
        <f t="shared" si="4"/>
        <v>-1.4038617697092551E-9</v>
      </c>
      <c r="H113" s="25">
        <f t="shared" si="6"/>
        <v>1</v>
      </c>
      <c r="I113" s="26">
        <v>22026.437699999999</v>
      </c>
      <c r="J113" s="27">
        <v>1.7830419E-2</v>
      </c>
      <c r="K113" s="28">
        <f t="shared" si="5"/>
        <v>0.29671904275365535</v>
      </c>
      <c r="L113" s="29">
        <f t="shared" si="7"/>
        <v>0</v>
      </c>
    </row>
    <row r="114" spans="2:12" x14ac:dyDescent="0.25">
      <c r="B114" s="43" t="s">
        <v>600</v>
      </c>
      <c r="C114" s="30">
        <v>11737.44785346808</v>
      </c>
      <c r="D114" s="31">
        <v>1.665929837</v>
      </c>
      <c r="E114" s="22">
        <v>11737.447899999999</v>
      </c>
      <c r="F114" s="23">
        <v>3.8839025440000001</v>
      </c>
      <c r="G114" s="24">
        <f t="shared" si="4"/>
        <v>3.9643983579712E-9</v>
      </c>
      <c r="H114" s="25">
        <f t="shared" si="6"/>
        <v>1</v>
      </c>
      <c r="I114" s="26">
        <v>14326.6029</v>
      </c>
      <c r="J114" s="27">
        <v>7.2593222999999998E-2</v>
      </c>
      <c r="K114" s="28">
        <f t="shared" si="5"/>
        <v>0.22058926939274098</v>
      </c>
      <c r="L114" s="29">
        <f t="shared" si="7"/>
        <v>0</v>
      </c>
    </row>
    <row r="115" spans="2:12" x14ac:dyDescent="0.25">
      <c r="B115" s="43" t="s">
        <v>601</v>
      </c>
      <c r="C115" s="30">
        <v>11447.082487332002</v>
      </c>
      <c r="D115" s="31">
        <v>1.594518656</v>
      </c>
      <c r="E115" s="22">
        <v>11447.0825</v>
      </c>
      <c r="F115" s="23">
        <v>3.8713670200000001</v>
      </c>
      <c r="G115" s="24">
        <f t="shared" si="4"/>
        <v>1.1066574239392407E-9</v>
      </c>
      <c r="H115" s="25">
        <f t="shared" si="6"/>
        <v>1</v>
      </c>
      <c r="I115" s="26">
        <v>14108.492200000001</v>
      </c>
      <c r="J115" s="27">
        <v>2.0327518999999999E-2</v>
      </c>
      <c r="K115" s="28">
        <f t="shared" si="5"/>
        <v>0.23249677073728328</v>
      </c>
      <c r="L115" s="29">
        <f t="shared" si="7"/>
        <v>0</v>
      </c>
    </row>
    <row r="116" spans="2:12" x14ac:dyDescent="0.25">
      <c r="B116" s="43" t="s">
        <v>602</v>
      </c>
      <c r="C116" s="30">
        <v>17512.870654469883</v>
      </c>
      <c r="D116" s="31">
        <v>4.105262798</v>
      </c>
      <c r="E116" s="22">
        <v>17512.870699999999</v>
      </c>
      <c r="F116" s="23">
        <v>4.6219747079999998</v>
      </c>
      <c r="G116" s="24">
        <f t="shared" si="4"/>
        <v>2.5998088456392457E-9</v>
      </c>
      <c r="H116" s="25">
        <f t="shared" si="6"/>
        <v>1</v>
      </c>
      <c r="I116" s="26">
        <v>21437.691599999998</v>
      </c>
      <c r="J116" s="27">
        <v>2.2965132999999999E-2</v>
      </c>
      <c r="K116" s="28">
        <f t="shared" si="5"/>
        <v>0.22411065684016609</v>
      </c>
      <c r="L116" s="29">
        <f t="shared" si="7"/>
        <v>0</v>
      </c>
    </row>
    <row r="117" spans="2:12" x14ac:dyDescent="0.25">
      <c r="B117" s="43" t="s">
        <v>603</v>
      </c>
      <c r="C117" s="30">
        <v>14096.793787642597</v>
      </c>
      <c r="D117" s="31">
        <v>1.6100948349999999</v>
      </c>
      <c r="E117" s="22">
        <v>14096.793799999999</v>
      </c>
      <c r="F117" s="23">
        <v>3.8813156800000002</v>
      </c>
      <c r="G117" s="24">
        <f t="shared" si="4"/>
        <v>8.7661087510900535E-10</v>
      </c>
      <c r="H117" s="25">
        <f t="shared" si="6"/>
        <v>1</v>
      </c>
      <c r="I117" s="26">
        <v>19228.570500000002</v>
      </c>
      <c r="J117" s="27">
        <v>2.2565127000000001E-2</v>
      </c>
      <c r="K117" s="28">
        <f t="shared" si="5"/>
        <v>0.36403857427892405</v>
      </c>
      <c r="L117" s="29">
        <f t="shared" si="7"/>
        <v>0</v>
      </c>
    </row>
    <row r="118" spans="2:12" x14ac:dyDescent="0.25">
      <c r="B118" s="43" t="s">
        <v>604</v>
      </c>
      <c r="C118" s="30">
        <v>29870.574160893237</v>
      </c>
      <c r="D118" s="31">
        <v>10.430837087</v>
      </c>
      <c r="E118" s="22">
        <v>29870.574199999999</v>
      </c>
      <c r="F118" s="23">
        <v>4.1460041289999996</v>
      </c>
      <c r="G118" s="24">
        <f t="shared" si="4"/>
        <v>1.3092069206433205E-9</v>
      </c>
      <c r="H118" s="25">
        <f t="shared" si="6"/>
        <v>1</v>
      </c>
      <c r="I118" s="26">
        <v>38871.804900000003</v>
      </c>
      <c r="J118" s="27">
        <v>1.9047483E-2</v>
      </c>
      <c r="K118" s="28">
        <f t="shared" si="5"/>
        <v>0.30134106865917698</v>
      </c>
      <c r="L118" s="29">
        <f t="shared" si="7"/>
        <v>0</v>
      </c>
    </row>
    <row r="119" spans="2:12" x14ac:dyDescent="0.25">
      <c r="B119" s="43" t="s">
        <v>605</v>
      </c>
      <c r="C119" s="30">
        <v>24164.116607450851</v>
      </c>
      <c r="D119" s="31">
        <v>10.603611642000001</v>
      </c>
      <c r="E119" s="22">
        <v>24164.116600000001</v>
      </c>
      <c r="F119" s="23">
        <v>4.0228326499999998</v>
      </c>
      <c r="G119" s="24">
        <f t="shared" si="4"/>
        <v>-3.0834356282894821E-10</v>
      </c>
      <c r="H119" s="25">
        <f t="shared" si="6"/>
        <v>1</v>
      </c>
      <c r="I119" s="26">
        <v>29357.896799999999</v>
      </c>
      <c r="J119" s="27">
        <v>2.0047189E-2</v>
      </c>
      <c r="K119" s="28">
        <f t="shared" si="5"/>
        <v>0.21493772261253194</v>
      </c>
      <c r="L119" s="29">
        <f t="shared" si="7"/>
        <v>0</v>
      </c>
    </row>
    <row r="120" spans="2:12" x14ac:dyDescent="0.25">
      <c r="B120" s="43" t="s">
        <v>606</v>
      </c>
      <c r="C120" s="30">
        <v>23402.986281691581</v>
      </c>
      <c r="D120" s="31">
        <v>6.002587718</v>
      </c>
      <c r="E120" s="22">
        <v>23402.9863</v>
      </c>
      <c r="F120" s="23">
        <v>4.0915351060000003</v>
      </c>
      <c r="G120" s="24">
        <f t="shared" si="4"/>
        <v>7.8231124714697181E-10</v>
      </c>
      <c r="H120" s="25">
        <f t="shared" si="6"/>
        <v>1</v>
      </c>
      <c r="I120" s="26">
        <v>30713.200099999998</v>
      </c>
      <c r="J120" s="27">
        <v>2.0406086E-2</v>
      </c>
      <c r="K120" s="28">
        <f t="shared" si="5"/>
        <v>0.31236243658473961</v>
      </c>
      <c r="L120" s="29">
        <f t="shared" si="7"/>
        <v>0</v>
      </c>
    </row>
    <row r="121" spans="2:12" x14ac:dyDescent="0.25">
      <c r="B121" s="43" t="s">
        <v>607</v>
      </c>
      <c r="C121" s="30">
        <v>22597.672972906475</v>
      </c>
      <c r="D121" s="31">
        <v>1.5251692610000001</v>
      </c>
      <c r="E121" s="22">
        <v>22597.672999999999</v>
      </c>
      <c r="F121" s="23">
        <v>3.29852561</v>
      </c>
      <c r="G121" s="24">
        <f t="shared" si="4"/>
        <v>1.1989519194381446E-9</v>
      </c>
      <c r="H121" s="25">
        <f t="shared" si="6"/>
        <v>1</v>
      </c>
      <c r="I121" s="26">
        <v>28238.251</v>
      </c>
      <c r="J121" s="27">
        <v>2.0431805000000001E-2</v>
      </c>
      <c r="K121" s="28">
        <f t="shared" si="5"/>
        <v>0.24960879971386021</v>
      </c>
      <c r="L121" s="29">
        <f t="shared" si="7"/>
        <v>0</v>
      </c>
    </row>
    <row r="122" spans="2:12" x14ac:dyDescent="0.25">
      <c r="B122" s="43" t="s">
        <v>608</v>
      </c>
      <c r="C122" s="30">
        <v>20553.016193322481</v>
      </c>
      <c r="D122" s="31">
        <v>1.5157678649999999</v>
      </c>
      <c r="E122" s="22">
        <v>20553.016199999998</v>
      </c>
      <c r="F122" s="23">
        <v>3.416227165</v>
      </c>
      <c r="G122" s="24">
        <f t="shared" si="4"/>
        <v>3.2489233276349621E-10</v>
      </c>
      <c r="H122" s="25">
        <f t="shared" si="6"/>
        <v>1</v>
      </c>
      <c r="I122" s="26">
        <v>27385.547500000001</v>
      </c>
      <c r="J122" s="27">
        <v>2.0452753000000001E-2</v>
      </c>
      <c r="K122" s="28">
        <f t="shared" si="5"/>
        <v>0.33243448272557474</v>
      </c>
      <c r="L122" s="29">
        <f t="shared" si="7"/>
        <v>0</v>
      </c>
    </row>
    <row r="123" spans="2:12" ht="15.75" thickBot="1" x14ac:dyDescent="0.3">
      <c r="B123" s="44" t="s">
        <v>609</v>
      </c>
      <c r="C123" s="45">
        <v>21571.243126724596</v>
      </c>
      <c r="D123" s="46">
        <v>1.719897689</v>
      </c>
      <c r="E123" s="22">
        <v>21571.2431</v>
      </c>
      <c r="F123" s="23">
        <v>3.6530954100000002</v>
      </c>
      <c r="G123" s="24">
        <f t="shared" si="4"/>
        <v>-1.2388992047363951E-9</v>
      </c>
      <c r="H123" s="25">
        <f t="shared" si="6"/>
        <v>1</v>
      </c>
      <c r="I123" s="26">
        <v>24203.030299999999</v>
      </c>
      <c r="J123" s="27">
        <v>1.9728418000000001E-2</v>
      </c>
      <c r="K123" s="28">
        <f t="shared" si="5"/>
        <v>0.12200442773809748</v>
      </c>
      <c r="L123" s="29">
        <f t="shared" si="7"/>
        <v>0</v>
      </c>
    </row>
    <row r="124" spans="2:12" ht="15.75" thickBot="1" x14ac:dyDescent="0.3">
      <c r="C124" s="48">
        <f>AVERAGE(C4:C123)</f>
        <v>69741.682318407082</v>
      </c>
      <c r="D124" s="47">
        <f>AVERAGE(D4:D123)</f>
        <v>3.482091011133333</v>
      </c>
      <c r="E124" s="35">
        <f>AVERAGE(E4:E123)</f>
        <v>69741.682319999993</v>
      </c>
      <c r="F124" s="35">
        <f>AVERAGE(F4:F123)</f>
        <v>2.9180109592250001</v>
      </c>
      <c r="G124" s="36">
        <f>AVERAGE(G4:G123)</f>
        <v>1.2198321756573663E-10</v>
      </c>
      <c r="H124" s="37">
        <f>SUM(H4:H123)</f>
        <v>120</v>
      </c>
      <c r="I124" s="38">
        <f>AVERAGE(I4:I123)</f>
        <v>80608.788058333244</v>
      </c>
      <c r="J124" s="38">
        <f>AVERAGE(J4:J123)</f>
        <v>2.2604817200000002E-2</v>
      </c>
      <c r="K124" s="39">
        <f>AVERAGE(K4:K123)</f>
        <v>0.16182668149163623</v>
      </c>
      <c r="L124" s="40">
        <f>SUM(L4:L123)</f>
        <v>6</v>
      </c>
    </row>
    <row r="126" spans="2:12" ht="15.75" thickBot="1" x14ac:dyDescent="0.3"/>
    <row r="127" spans="2:12" x14ac:dyDescent="0.25">
      <c r="B127" s="1" t="s">
        <v>489</v>
      </c>
      <c r="C127" s="2" t="s">
        <v>125</v>
      </c>
      <c r="D127" s="3"/>
      <c r="E127" s="4" t="s">
        <v>126</v>
      </c>
      <c r="F127" s="5"/>
      <c r="G127" s="5"/>
      <c r="H127" s="6"/>
      <c r="I127" s="7" t="s">
        <v>247</v>
      </c>
      <c r="J127" s="8"/>
      <c r="K127" s="8"/>
      <c r="L127" s="9"/>
    </row>
    <row r="128" spans="2:12" ht="15.75" thickBot="1" x14ac:dyDescent="0.3">
      <c r="B128" s="10"/>
      <c r="C128" s="41" t="s">
        <v>1</v>
      </c>
      <c r="D128" s="42" t="s">
        <v>2</v>
      </c>
      <c r="E128" s="13" t="s">
        <v>1</v>
      </c>
      <c r="F128" s="14" t="s">
        <v>2</v>
      </c>
      <c r="G128" s="14" t="s">
        <v>3</v>
      </c>
      <c r="H128" s="15" t="s">
        <v>4</v>
      </c>
      <c r="I128" s="16" t="s">
        <v>1</v>
      </c>
      <c r="J128" s="17" t="s">
        <v>2</v>
      </c>
      <c r="K128" s="17" t="s">
        <v>3</v>
      </c>
      <c r="L128" s="18" t="s">
        <v>4</v>
      </c>
    </row>
    <row r="129" spans="2:12" x14ac:dyDescent="0.25">
      <c r="B129" s="43" t="s">
        <v>610</v>
      </c>
      <c r="C129" s="30">
        <v>154048.89614661894</v>
      </c>
      <c r="D129" s="31">
        <v>7.5955672139999999</v>
      </c>
      <c r="E129" s="22">
        <v>154048.89610000001</v>
      </c>
      <c r="F129" s="23">
        <v>3.6721383890000001</v>
      </c>
      <c r="G129" s="24">
        <f t="shared" ref="G129:G192" si="8">(E129-C129)/C129</f>
        <v>-3.026241943003084E-10</v>
      </c>
      <c r="H129" s="25">
        <f>IF(G129&lt;0.000001,1,0)</f>
        <v>1</v>
      </c>
      <c r="I129" s="26">
        <v>163163.45019999999</v>
      </c>
      <c r="J129" s="27">
        <v>1.3042308000000001E-2</v>
      </c>
      <c r="K129" s="28">
        <f t="shared" ref="K129:K192" si="9">(I129-C129)/C129</f>
        <v>5.9166630085463953E-2</v>
      </c>
      <c r="L129" s="29">
        <f>IF(K129&lt;0.000001,1,0)</f>
        <v>0</v>
      </c>
    </row>
    <row r="130" spans="2:12" x14ac:dyDescent="0.25">
      <c r="B130" s="43" t="s">
        <v>611</v>
      </c>
      <c r="C130" s="30">
        <v>193282.12558333669</v>
      </c>
      <c r="D130" s="31">
        <v>7.617031227</v>
      </c>
      <c r="E130" s="22">
        <v>193282.1256</v>
      </c>
      <c r="F130" s="23">
        <v>2.944659229</v>
      </c>
      <c r="G130" s="24">
        <f t="shared" si="8"/>
        <v>8.6212373576815089E-11</v>
      </c>
      <c r="H130" s="25">
        <f t="shared" ref="H130:H193" si="10">IF(G130&lt;0.000001,1,0)</f>
        <v>1</v>
      </c>
      <c r="I130" s="26">
        <v>193282.1256</v>
      </c>
      <c r="J130" s="27">
        <v>1.2167918999999999E-2</v>
      </c>
      <c r="K130" s="28">
        <f t="shared" si="9"/>
        <v>8.6212373576815089E-11</v>
      </c>
      <c r="L130" s="29">
        <f t="shared" ref="L130:L193" si="11">IF(K130&lt;0.000001,1,0)</f>
        <v>1</v>
      </c>
    </row>
    <row r="131" spans="2:12" x14ac:dyDescent="0.25">
      <c r="B131" s="43" t="s">
        <v>612</v>
      </c>
      <c r="C131" s="30">
        <v>153578.66997145387</v>
      </c>
      <c r="D131" s="31">
        <v>1.494625519</v>
      </c>
      <c r="E131" s="22">
        <v>153578.67000000001</v>
      </c>
      <c r="F131" s="23">
        <v>3.1830873240000002</v>
      </c>
      <c r="G131" s="24">
        <f t="shared" si="8"/>
        <v>1.8587309593726608E-10</v>
      </c>
      <c r="H131" s="25">
        <f t="shared" si="10"/>
        <v>1</v>
      </c>
      <c r="I131" s="26">
        <v>153578.67000000001</v>
      </c>
      <c r="J131" s="27">
        <v>1.3933147999999999E-2</v>
      </c>
      <c r="K131" s="28">
        <f t="shared" si="9"/>
        <v>1.8587309593726608E-10</v>
      </c>
      <c r="L131" s="29">
        <f t="shared" si="11"/>
        <v>1</v>
      </c>
    </row>
    <row r="132" spans="2:12" x14ac:dyDescent="0.25">
      <c r="B132" s="43" t="s">
        <v>613</v>
      </c>
      <c r="C132" s="30">
        <v>156434.43513835708</v>
      </c>
      <c r="D132" s="31">
        <v>14.890715256</v>
      </c>
      <c r="E132" s="22">
        <v>156434.4351</v>
      </c>
      <c r="F132" s="23">
        <v>3.1031381389999999</v>
      </c>
      <c r="G132" s="24">
        <f t="shared" si="8"/>
        <v>-2.451958430660908E-10</v>
      </c>
      <c r="H132" s="25">
        <f t="shared" si="10"/>
        <v>1</v>
      </c>
      <c r="I132" s="26">
        <v>165269.55179999999</v>
      </c>
      <c r="J132" s="27">
        <v>1.4518873E-2</v>
      </c>
      <c r="K132" s="28">
        <f t="shared" si="9"/>
        <v>5.647808076162239E-2</v>
      </c>
      <c r="L132" s="29">
        <f t="shared" si="11"/>
        <v>0</v>
      </c>
    </row>
    <row r="133" spans="2:12" x14ac:dyDescent="0.25">
      <c r="B133" s="43" t="s">
        <v>614</v>
      </c>
      <c r="C133" s="30">
        <v>150561.82135243563</v>
      </c>
      <c r="D133" s="31">
        <v>6.7542268630000004</v>
      </c>
      <c r="E133" s="22">
        <v>150561.82139999999</v>
      </c>
      <c r="F133" s="23">
        <v>3.273626304</v>
      </c>
      <c r="G133" s="24">
        <f t="shared" si="8"/>
        <v>3.1591249750008412E-10</v>
      </c>
      <c r="H133" s="25">
        <f t="shared" si="10"/>
        <v>1</v>
      </c>
      <c r="I133" s="26">
        <v>163419.69649999999</v>
      </c>
      <c r="J133" s="27">
        <v>1.3657248E-2</v>
      </c>
      <c r="K133" s="28">
        <f t="shared" si="9"/>
        <v>8.5399306624131546E-2</v>
      </c>
      <c r="L133" s="29">
        <f t="shared" si="11"/>
        <v>0</v>
      </c>
    </row>
    <row r="134" spans="2:12" x14ac:dyDescent="0.25">
      <c r="B134" s="43" t="s">
        <v>615</v>
      </c>
      <c r="C134" s="30">
        <v>153389.38433026499</v>
      </c>
      <c r="D134" s="31">
        <v>3.1640087139999999</v>
      </c>
      <c r="E134" s="22">
        <v>153389.38430000001</v>
      </c>
      <c r="F134" s="23">
        <v>3.4158219700000001</v>
      </c>
      <c r="G134" s="24">
        <f t="shared" si="8"/>
        <v>-1.9730821733596642E-10</v>
      </c>
      <c r="H134" s="25">
        <f t="shared" si="10"/>
        <v>1</v>
      </c>
      <c r="I134" s="26">
        <v>176115.81200000001</v>
      </c>
      <c r="J134" s="27">
        <v>1.4859916000000001E-2</v>
      </c>
      <c r="K134" s="28">
        <f t="shared" si="9"/>
        <v>0.14816167213242346</v>
      </c>
      <c r="L134" s="29">
        <f t="shared" si="11"/>
        <v>0</v>
      </c>
    </row>
    <row r="135" spans="2:12" x14ac:dyDescent="0.25">
      <c r="B135" s="43" t="s">
        <v>616</v>
      </c>
      <c r="C135" s="30">
        <v>154956.64799125172</v>
      </c>
      <c r="D135" s="31">
        <v>1.294027823</v>
      </c>
      <c r="E135" s="22">
        <v>154956.64799999999</v>
      </c>
      <c r="F135" s="23">
        <v>3.4570705510000002</v>
      </c>
      <c r="G135" s="24">
        <f t="shared" si="8"/>
        <v>5.6456191475067044E-11</v>
      </c>
      <c r="H135" s="25">
        <f t="shared" si="10"/>
        <v>1</v>
      </c>
      <c r="I135" s="26">
        <v>185940.1153</v>
      </c>
      <c r="J135" s="27">
        <v>1.2490527E-2</v>
      </c>
      <c r="K135" s="28">
        <f t="shared" si="9"/>
        <v>0.19994926136049027</v>
      </c>
      <c r="L135" s="29">
        <f t="shared" si="11"/>
        <v>0</v>
      </c>
    </row>
    <row r="136" spans="2:12" x14ac:dyDescent="0.25">
      <c r="B136" s="43" t="s">
        <v>617</v>
      </c>
      <c r="C136" s="30">
        <v>228216.80984358414</v>
      </c>
      <c r="D136" s="31">
        <v>8.7727579779999996</v>
      </c>
      <c r="E136" s="22">
        <v>228216.80979999999</v>
      </c>
      <c r="F136" s="23">
        <v>1.6771202350000001</v>
      </c>
      <c r="G136" s="24">
        <f t="shared" si="8"/>
        <v>-1.9097694991025776E-10</v>
      </c>
      <c r="H136" s="25">
        <f t="shared" si="10"/>
        <v>1</v>
      </c>
      <c r="I136" s="26">
        <v>256514.2677</v>
      </c>
      <c r="J136" s="27">
        <v>1.2988838000000001E-2</v>
      </c>
      <c r="K136" s="28">
        <f t="shared" si="9"/>
        <v>0.12399374908364746</v>
      </c>
      <c r="L136" s="29">
        <f t="shared" si="11"/>
        <v>0</v>
      </c>
    </row>
    <row r="137" spans="2:12" x14ac:dyDescent="0.25">
      <c r="B137" s="43" t="s">
        <v>618</v>
      </c>
      <c r="C137" s="30">
        <v>139758.94324445407</v>
      </c>
      <c r="D137" s="31">
        <v>11.258335023000001</v>
      </c>
      <c r="E137" s="22">
        <v>139758.94320000001</v>
      </c>
      <c r="F137" s="23">
        <v>1.8808984719999999</v>
      </c>
      <c r="G137" s="24">
        <f t="shared" si="8"/>
        <v>-3.1807670208820638E-10</v>
      </c>
      <c r="H137" s="25">
        <f t="shared" si="10"/>
        <v>1</v>
      </c>
      <c r="I137" s="26">
        <v>150690.0055</v>
      </c>
      <c r="J137" s="27">
        <v>1.5375919E-2</v>
      </c>
      <c r="K137" s="28">
        <f t="shared" si="9"/>
        <v>7.821368709425823E-2</v>
      </c>
      <c r="L137" s="29">
        <f t="shared" si="11"/>
        <v>0</v>
      </c>
    </row>
    <row r="138" spans="2:12" x14ac:dyDescent="0.25">
      <c r="B138" s="43" t="s">
        <v>619</v>
      </c>
      <c r="C138" s="30">
        <v>153583.86325688357</v>
      </c>
      <c r="D138" s="31">
        <v>7.712534453</v>
      </c>
      <c r="E138" s="22">
        <v>153583.8633</v>
      </c>
      <c r="F138" s="23">
        <v>1.5338940729999999</v>
      </c>
      <c r="G138" s="24">
        <f t="shared" si="8"/>
        <v>2.8073536951463788E-10</v>
      </c>
      <c r="H138" s="25">
        <f t="shared" si="10"/>
        <v>1</v>
      </c>
      <c r="I138" s="26">
        <v>162084.45120000001</v>
      </c>
      <c r="J138" s="27">
        <v>1.7959372000000001E-2</v>
      </c>
      <c r="K138" s="28">
        <f t="shared" si="9"/>
        <v>5.5348184131157038E-2</v>
      </c>
      <c r="L138" s="29">
        <f t="shared" si="11"/>
        <v>0</v>
      </c>
    </row>
    <row r="139" spans="2:12" x14ac:dyDescent="0.25">
      <c r="B139" s="43" t="s">
        <v>620</v>
      </c>
      <c r="C139" s="30">
        <v>124966.39737617056</v>
      </c>
      <c r="D139" s="31">
        <v>8.9020349519999993</v>
      </c>
      <c r="E139" s="22">
        <v>124966.3974</v>
      </c>
      <c r="F139" s="23">
        <v>3.1202545129999999</v>
      </c>
      <c r="G139" s="24">
        <f t="shared" si="8"/>
        <v>1.906868216320239E-10</v>
      </c>
      <c r="H139" s="25">
        <f t="shared" si="10"/>
        <v>1</v>
      </c>
      <c r="I139" s="26">
        <v>139231.24969999999</v>
      </c>
      <c r="J139" s="27">
        <v>2.9999089999999999E-2</v>
      </c>
      <c r="K139" s="28">
        <f t="shared" si="9"/>
        <v>0.11414950437348168</v>
      </c>
      <c r="L139" s="29">
        <f t="shared" si="11"/>
        <v>0</v>
      </c>
    </row>
    <row r="140" spans="2:12" x14ac:dyDescent="0.25">
      <c r="B140" s="43" t="s">
        <v>621</v>
      </c>
      <c r="C140" s="30">
        <v>136478.53247429302</v>
      </c>
      <c r="D140" s="31">
        <v>8.6535407339999999</v>
      </c>
      <c r="E140" s="22">
        <v>136478.5325</v>
      </c>
      <c r="F140" s="23">
        <v>3.7115549479999999</v>
      </c>
      <c r="G140" s="24">
        <f t="shared" si="8"/>
        <v>1.8835912446390186E-10</v>
      </c>
      <c r="H140" s="25">
        <f t="shared" si="10"/>
        <v>1</v>
      </c>
      <c r="I140" s="26">
        <v>140923.32800000001</v>
      </c>
      <c r="J140" s="27">
        <v>2.6095376999999999E-2</v>
      </c>
      <c r="K140" s="28">
        <f t="shared" si="9"/>
        <v>3.2567726551017848E-2</v>
      </c>
      <c r="L140" s="29">
        <f t="shared" si="11"/>
        <v>0</v>
      </c>
    </row>
    <row r="141" spans="2:12" x14ac:dyDescent="0.25">
      <c r="B141" s="43" t="s">
        <v>622</v>
      </c>
      <c r="C141" s="30">
        <v>138615.11464952279</v>
      </c>
      <c r="D141" s="31">
        <v>8.6431021440000002</v>
      </c>
      <c r="E141" s="22">
        <v>138615.1146</v>
      </c>
      <c r="F141" s="23">
        <v>3.024078517</v>
      </c>
      <c r="G141" s="24">
        <f t="shared" si="8"/>
        <v>-3.5726830361961536E-10</v>
      </c>
      <c r="H141" s="25">
        <f t="shared" si="10"/>
        <v>1</v>
      </c>
      <c r="I141" s="26">
        <v>165807.5362</v>
      </c>
      <c r="J141" s="27">
        <v>1.6375002999999999E-2</v>
      </c>
      <c r="K141" s="28">
        <f t="shared" si="9"/>
        <v>0.19617212465776965</v>
      </c>
      <c r="L141" s="29">
        <f t="shared" si="11"/>
        <v>0</v>
      </c>
    </row>
    <row r="142" spans="2:12" x14ac:dyDescent="0.25">
      <c r="B142" s="43" t="s">
        <v>623</v>
      </c>
      <c r="C142" s="30">
        <v>119663.95982642831</v>
      </c>
      <c r="D142" s="31">
        <v>5.3004920289999999</v>
      </c>
      <c r="E142" s="22">
        <v>119663.9598</v>
      </c>
      <c r="F142" s="23">
        <v>3.1043119570000002</v>
      </c>
      <c r="G142" s="24">
        <f t="shared" si="8"/>
        <v>-2.2085442735791337E-10</v>
      </c>
      <c r="H142" s="25">
        <f t="shared" si="10"/>
        <v>1</v>
      </c>
      <c r="I142" s="26">
        <v>129993.1165</v>
      </c>
      <c r="J142" s="27">
        <v>1.8833582000000001E-2</v>
      </c>
      <c r="K142" s="28">
        <f t="shared" si="9"/>
        <v>8.6318024980571062E-2</v>
      </c>
      <c r="L142" s="29">
        <f t="shared" si="11"/>
        <v>0</v>
      </c>
    </row>
    <row r="143" spans="2:12" x14ac:dyDescent="0.25">
      <c r="B143" s="43" t="s">
        <v>624</v>
      </c>
      <c r="C143" s="30">
        <v>108182.58403798925</v>
      </c>
      <c r="D143" s="31">
        <v>9.2550923449999996</v>
      </c>
      <c r="E143" s="22">
        <v>108182.584</v>
      </c>
      <c r="F143" s="23">
        <v>3.33068841</v>
      </c>
      <c r="G143" s="24">
        <f t="shared" si="8"/>
        <v>-3.511585971522873E-10</v>
      </c>
      <c r="H143" s="25">
        <f t="shared" si="10"/>
        <v>1</v>
      </c>
      <c r="I143" s="26">
        <v>113627.63589999999</v>
      </c>
      <c r="J143" s="27">
        <v>2.2277735999999999E-2</v>
      </c>
      <c r="K143" s="28">
        <f t="shared" si="9"/>
        <v>5.033205585197216E-2</v>
      </c>
      <c r="L143" s="29">
        <f t="shared" si="11"/>
        <v>0</v>
      </c>
    </row>
    <row r="144" spans="2:12" x14ac:dyDescent="0.25">
      <c r="B144" s="43" t="s">
        <v>625</v>
      </c>
      <c r="C144" s="30">
        <v>122490.0342582046</v>
      </c>
      <c r="D144" s="31">
        <v>11.361233137999999</v>
      </c>
      <c r="E144" s="22">
        <v>122490.0343</v>
      </c>
      <c r="F144" s="23">
        <v>3.0053788190000001</v>
      </c>
      <c r="G144" s="24">
        <f t="shared" si="8"/>
        <v>3.412146954777764E-10</v>
      </c>
      <c r="H144" s="25">
        <f t="shared" si="10"/>
        <v>1</v>
      </c>
      <c r="I144" s="26">
        <v>129596.3934</v>
      </c>
      <c r="J144" s="27">
        <v>3.6524446000000002E-2</v>
      </c>
      <c r="K144" s="28">
        <f t="shared" si="9"/>
        <v>5.8015814795311843E-2</v>
      </c>
      <c r="L144" s="29">
        <f t="shared" si="11"/>
        <v>0</v>
      </c>
    </row>
    <row r="145" spans="2:12" x14ac:dyDescent="0.25">
      <c r="B145" s="43" t="s">
        <v>626</v>
      </c>
      <c r="C145" s="30">
        <v>157507.94151463581</v>
      </c>
      <c r="D145" s="31">
        <v>9.5602308340000004</v>
      </c>
      <c r="E145" s="22">
        <v>157507.94149999999</v>
      </c>
      <c r="F145" s="23">
        <v>2.9008464370000002</v>
      </c>
      <c r="G145" s="24">
        <f t="shared" si="8"/>
        <v>-9.292116594777311E-11</v>
      </c>
      <c r="H145" s="25">
        <f t="shared" si="10"/>
        <v>1</v>
      </c>
      <c r="I145" s="26">
        <v>185598.56039999999</v>
      </c>
      <c r="J145" s="27">
        <v>1.6267970999999999E-2</v>
      </c>
      <c r="K145" s="28">
        <f t="shared" si="9"/>
        <v>0.178344143255494</v>
      </c>
      <c r="L145" s="29">
        <f t="shared" si="11"/>
        <v>0</v>
      </c>
    </row>
    <row r="146" spans="2:12" x14ac:dyDescent="0.25">
      <c r="B146" s="43" t="s">
        <v>627</v>
      </c>
      <c r="C146" s="30">
        <v>138243.9357917149</v>
      </c>
      <c r="D146" s="31">
        <v>9.5884660470000007</v>
      </c>
      <c r="E146" s="22">
        <v>138243.93580000001</v>
      </c>
      <c r="F146" s="23">
        <v>3.1843006250000001</v>
      </c>
      <c r="G146" s="24">
        <f t="shared" si="8"/>
        <v>5.993104713050816E-11</v>
      </c>
      <c r="H146" s="25">
        <f t="shared" si="10"/>
        <v>1</v>
      </c>
      <c r="I146" s="26">
        <v>152337.49100000001</v>
      </c>
      <c r="J146" s="27">
        <v>1.6912617000000001E-2</v>
      </c>
      <c r="K146" s="28">
        <f t="shared" si="9"/>
        <v>0.10194700496316271</v>
      </c>
      <c r="L146" s="29">
        <f t="shared" si="11"/>
        <v>0</v>
      </c>
    </row>
    <row r="147" spans="2:12" x14ac:dyDescent="0.25">
      <c r="B147" s="43" t="s">
        <v>628</v>
      </c>
      <c r="C147" s="30">
        <v>101924.63635487849</v>
      </c>
      <c r="D147" s="31">
        <v>7.4679844109999998</v>
      </c>
      <c r="E147" s="22">
        <v>101924.6364</v>
      </c>
      <c r="F147" s="23">
        <v>2.5736424950000001</v>
      </c>
      <c r="G147" s="24">
        <f t="shared" si="8"/>
        <v>4.4269489756338566E-10</v>
      </c>
      <c r="H147" s="25">
        <f t="shared" si="10"/>
        <v>1</v>
      </c>
      <c r="I147" s="26">
        <v>115174.7638</v>
      </c>
      <c r="J147" s="27">
        <v>1.5005971E-2</v>
      </c>
      <c r="K147" s="28">
        <f t="shared" si="9"/>
        <v>0.12999926140513834</v>
      </c>
      <c r="L147" s="29">
        <f t="shared" si="11"/>
        <v>0</v>
      </c>
    </row>
    <row r="148" spans="2:12" x14ac:dyDescent="0.25">
      <c r="B148" s="43" t="s">
        <v>629</v>
      </c>
      <c r="C148" s="30">
        <v>145971.9066808061</v>
      </c>
      <c r="D148" s="31">
        <v>9.7246038610000003</v>
      </c>
      <c r="E148" s="22">
        <v>145971.90669999999</v>
      </c>
      <c r="F148" s="23">
        <v>2.9320164649999998</v>
      </c>
      <c r="G148" s="24">
        <f t="shared" si="8"/>
        <v>1.3149029365421256E-10</v>
      </c>
      <c r="H148" s="25">
        <f t="shared" si="10"/>
        <v>1</v>
      </c>
      <c r="I148" s="26">
        <v>161490.03529999999</v>
      </c>
      <c r="J148" s="27">
        <v>1.8051063999999999E-2</v>
      </c>
      <c r="K148" s="28">
        <f t="shared" si="9"/>
        <v>0.10630900816502364</v>
      </c>
      <c r="L148" s="29">
        <f t="shared" si="11"/>
        <v>0</v>
      </c>
    </row>
    <row r="149" spans="2:12" x14ac:dyDescent="0.25">
      <c r="B149" s="43" t="s">
        <v>630</v>
      </c>
      <c r="C149" s="30">
        <v>120764.23117524947</v>
      </c>
      <c r="D149" s="31">
        <v>2.0882755419999999</v>
      </c>
      <c r="E149" s="22">
        <v>120764.23119999999</v>
      </c>
      <c r="F149" s="23">
        <v>3.6662158680000001</v>
      </c>
      <c r="G149" s="24">
        <f t="shared" si="8"/>
        <v>2.0494912203634151E-10</v>
      </c>
      <c r="H149" s="25">
        <f t="shared" si="10"/>
        <v>1</v>
      </c>
      <c r="I149" s="26">
        <v>141459.49429999999</v>
      </c>
      <c r="J149" s="27">
        <v>2.08588E-2</v>
      </c>
      <c r="K149" s="28">
        <f t="shared" si="9"/>
        <v>0.17136914567624056</v>
      </c>
      <c r="L149" s="29">
        <f t="shared" si="11"/>
        <v>0</v>
      </c>
    </row>
    <row r="150" spans="2:12" x14ac:dyDescent="0.25">
      <c r="B150" s="43" t="s">
        <v>631</v>
      </c>
      <c r="C150" s="30">
        <v>100118.04798443874</v>
      </c>
      <c r="D150" s="31">
        <v>13.143926145</v>
      </c>
      <c r="E150" s="22">
        <v>100118.048</v>
      </c>
      <c r="F150" s="23">
        <v>3.9202118459999999</v>
      </c>
      <c r="G150" s="24">
        <f t="shared" si="8"/>
        <v>1.5542902537352982E-10</v>
      </c>
      <c r="H150" s="25">
        <f t="shared" si="10"/>
        <v>1</v>
      </c>
      <c r="I150" s="26">
        <v>109289.9368</v>
      </c>
      <c r="J150" s="27">
        <v>1.935835E-2</v>
      </c>
      <c r="K150" s="28">
        <f t="shared" si="9"/>
        <v>9.1610743519358565E-2</v>
      </c>
      <c r="L150" s="29">
        <f t="shared" si="11"/>
        <v>0</v>
      </c>
    </row>
    <row r="151" spans="2:12" x14ac:dyDescent="0.25">
      <c r="B151" s="43" t="s">
        <v>632</v>
      </c>
      <c r="C151" s="30">
        <v>118958.19169140809</v>
      </c>
      <c r="D151" s="31">
        <v>1.7234967560000001</v>
      </c>
      <c r="E151" s="22">
        <v>118958.1917</v>
      </c>
      <c r="F151" s="23">
        <v>3.7163296730000002</v>
      </c>
      <c r="G151" s="24">
        <f t="shared" si="8"/>
        <v>7.2226231233308419E-11</v>
      </c>
      <c r="H151" s="25">
        <f t="shared" si="10"/>
        <v>1</v>
      </c>
      <c r="I151" s="26">
        <v>162513.174</v>
      </c>
      <c r="J151" s="27">
        <v>2.2380520000000001E-2</v>
      </c>
      <c r="K151" s="28">
        <f t="shared" si="9"/>
        <v>0.36613688968624192</v>
      </c>
      <c r="L151" s="29">
        <f t="shared" si="11"/>
        <v>0</v>
      </c>
    </row>
    <row r="152" spans="2:12" x14ac:dyDescent="0.25">
      <c r="B152" s="43" t="s">
        <v>633</v>
      </c>
      <c r="C152" s="30">
        <v>104368.54376074587</v>
      </c>
      <c r="D152" s="31">
        <v>9.9736790489999994</v>
      </c>
      <c r="E152" s="22">
        <v>104368.5438</v>
      </c>
      <c r="F152" s="23">
        <v>5.2374578209999996</v>
      </c>
      <c r="G152" s="24">
        <f t="shared" si="8"/>
        <v>3.7611069971960012E-10</v>
      </c>
      <c r="H152" s="25">
        <f t="shared" si="10"/>
        <v>1</v>
      </c>
      <c r="I152" s="26">
        <v>129103.0229</v>
      </c>
      <c r="J152" s="27">
        <v>3.8697193999999997E-2</v>
      </c>
      <c r="K152" s="28">
        <f t="shared" si="9"/>
        <v>0.23699170504817396</v>
      </c>
      <c r="L152" s="29">
        <f t="shared" si="11"/>
        <v>0</v>
      </c>
    </row>
    <row r="153" spans="2:12" x14ac:dyDescent="0.25">
      <c r="B153" s="43" t="s">
        <v>634</v>
      </c>
      <c r="C153" s="30">
        <v>133512.95279569487</v>
      </c>
      <c r="D153" s="31">
        <v>10.866117531</v>
      </c>
      <c r="E153" s="22">
        <v>133512.9528</v>
      </c>
      <c r="F153" s="23">
        <v>4.3869426279999999</v>
      </c>
      <c r="G153" s="24">
        <f t="shared" si="8"/>
        <v>3.2245005615591764E-11</v>
      </c>
      <c r="H153" s="25">
        <f t="shared" si="10"/>
        <v>1</v>
      </c>
      <c r="I153" s="26">
        <v>156588.47099999999</v>
      </c>
      <c r="J153" s="27">
        <v>2.1486224000000002E-2</v>
      </c>
      <c r="K153" s="28">
        <f t="shared" si="9"/>
        <v>0.17283355450625004</v>
      </c>
      <c r="L153" s="29">
        <f t="shared" si="11"/>
        <v>0</v>
      </c>
    </row>
    <row r="154" spans="2:12" x14ac:dyDescent="0.25">
      <c r="B154" s="43" t="s">
        <v>635</v>
      </c>
      <c r="C154" s="30">
        <v>105504.18319968249</v>
      </c>
      <c r="D154" s="31">
        <v>11.819586135</v>
      </c>
      <c r="E154" s="22">
        <v>105504.1832</v>
      </c>
      <c r="F154" s="23">
        <v>4.071111181</v>
      </c>
      <c r="G154" s="24">
        <f t="shared" si="8"/>
        <v>3.0094374340286052E-12</v>
      </c>
      <c r="H154" s="25">
        <f t="shared" si="10"/>
        <v>1</v>
      </c>
      <c r="I154" s="26">
        <v>123346.3363</v>
      </c>
      <c r="J154" s="27">
        <v>2.3364876E-2</v>
      </c>
      <c r="K154" s="28">
        <f t="shared" si="9"/>
        <v>0.16911322906077147</v>
      </c>
      <c r="L154" s="29">
        <f t="shared" si="11"/>
        <v>0</v>
      </c>
    </row>
    <row r="155" spans="2:12" x14ac:dyDescent="0.25">
      <c r="B155" s="43" t="s">
        <v>636</v>
      </c>
      <c r="C155" s="30">
        <v>86194.688370966411</v>
      </c>
      <c r="D155" s="31">
        <v>2.334897862</v>
      </c>
      <c r="E155" s="22">
        <v>86194.688399999999</v>
      </c>
      <c r="F155" s="23">
        <v>3.7266617339999999</v>
      </c>
      <c r="G155" s="24">
        <f t="shared" si="8"/>
        <v>3.3683732618152806E-10</v>
      </c>
      <c r="H155" s="25">
        <f t="shared" si="10"/>
        <v>1</v>
      </c>
      <c r="I155" s="26">
        <v>97595.771200000003</v>
      </c>
      <c r="J155" s="27">
        <v>2.4237753000000001E-2</v>
      </c>
      <c r="K155" s="28">
        <f t="shared" si="9"/>
        <v>0.13227129240221144</v>
      </c>
      <c r="L155" s="29">
        <f t="shared" si="11"/>
        <v>0</v>
      </c>
    </row>
    <row r="156" spans="2:12" x14ac:dyDescent="0.25">
      <c r="B156" s="43" t="s">
        <v>637</v>
      </c>
      <c r="C156" s="30">
        <v>92770.773213316759</v>
      </c>
      <c r="D156" s="31">
        <v>1.2947824379999999</v>
      </c>
      <c r="E156" s="22">
        <v>92770.773199999996</v>
      </c>
      <c r="F156" s="23">
        <v>3.9010770199999998</v>
      </c>
      <c r="G156" s="24">
        <f t="shared" si="8"/>
        <v>-1.4354481216921397E-10</v>
      </c>
      <c r="H156" s="25">
        <f t="shared" si="10"/>
        <v>1</v>
      </c>
      <c r="I156" s="26">
        <v>120991.9127</v>
      </c>
      <c r="J156" s="27">
        <v>3.3369314999999997E-2</v>
      </c>
      <c r="K156" s="28">
        <f t="shared" si="9"/>
        <v>0.30420291336573924</v>
      </c>
      <c r="L156" s="29">
        <f t="shared" si="11"/>
        <v>0</v>
      </c>
    </row>
    <row r="157" spans="2:12" x14ac:dyDescent="0.25">
      <c r="B157" s="43" t="s">
        <v>638</v>
      </c>
      <c r="C157" s="30">
        <v>112721.99233573856</v>
      </c>
      <c r="D157" s="31">
        <v>10.788755447</v>
      </c>
      <c r="E157" s="22">
        <v>112721.9923</v>
      </c>
      <c r="F157" s="23">
        <v>3.7916776190000001</v>
      </c>
      <c r="G157" s="24">
        <f t="shared" si="8"/>
        <v>-3.1705044584319522E-10</v>
      </c>
      <c r="H157" s="25">
        <f t="shared" si="10"/>
        <v>1</v>
      </c>
      <c r="I157" s="26">
        <v>143806.9129</v>
      </c>
      <c r="J157" s="27">
        <v>3.0052008000000002E-2</v>
      </c>
      <c r="K157" s="28">
        <f t="shared" si="9"/>
        <v>0.27576624507909758</v>
      </c>
      <c r="L157" s="29">
        <f t="shared" si="11"/>
        <v>0</v>
      </c>
    </row>
    <row r="158" spans="2:12" x14ac:dyDescent="0.25">
      <c r="B158" s="43" t="s">
        <v>639</v>
      </c>
      <c r="C158" s="30">
        <v>98349.724023929637</v>
      </c>
      <c r="D158" s="31">
        <v>10.817796581</v>
      </c>
      <c r="E158" s="22">
        <v>98349.724000000002</v>
      </c>
      <c r="F158" s="23">
        <v>3.8209952870000001</v>
      </c>
      <c r="G158" s="24">
        <f t="shared" si="8"/>
        <v>-2.4331166457560572E-10</v>
      </c>
      <c r="H158" s="25">
        <f t="shared" si="10"/>
        <v>1</v>
      </c>
      <c r="I158" s="26">
        <v>112853.8778</v>
      </c>
      <c r="J158" s="27">
        <v>2.8240090999999998E-2</v>
      </c>
      <c r="K158" s="28">
        <f t="shared" si="9"/>
        <v>0.14747528699258308</v>
      </c>
      <c r="L158" s="29">
        <f t="shared" si="11"/>
        <v>0</v>
      </c>
    </row>
    <row r="159" spans="2:12" x14ac:dyDescent="0.25">
      <c r="B159" s="43" t="s">
        <v>640</v>
      </c>
      <c r="C159" s="30">
        <v>68733.571592721593</v>
      </c>
      <c r="D159" s="31">
        <v>8.4606699059999997</v>
      </c>
      <c r="E159" s="22">
        <v>68733.571599999996</v>
      </c>
      <c r="F159" s="23">
        <v>5.3716531789999999</v>
      </c>
      <c r="G159" s="24">
        <f t="shared" si="8"/>
        <v>1.0589297438331465E-10</v>
      </c>
      <c r="H159" s="25">
        <f t="shared" si="10"/>
        <v>1</v>
      </c>
      <c r="I159" s="26">
        <v>89023.647100000002</v>
      </c>
      <c r="J159" s="27">
        <v>6.3415371999999998E-2</v>
      </c>
      <c r="K159" s="28">
        <f t="shared" si="9"/>
        <v>0.29519891134868637</v>
      </c>
      <c r="L159" s="29">
        <f t="shared" si="11"/>
        <v>0</v>
      </c>
    </row>
    <row r="160" spans="2:12" x14ac:dyDescent="0.25">
      <c r="B160" s="43" t="s">
        <v>641</v>
      </c>
      <c r="C160" s="30">
        <v>100686.46627622473</v>
      </c>
      <c r="D160" s="31">
        <v>9.3330088809999996</v>
      </c>
      <c r="E160" s="22">
        <v>100686.4663</v>
      </c>
      <c r="F160" s="23">
        <v>5.0829495939999996</v>
      </c>
      <c r="G160" s="24">
        <f t="shared" si="8"/>
        <v>2.3613171884338282E-10</v>
      </c>
      <c r="H160" s="25">
        <f t="shared" si="10"/>
        <v>1</v>
      </c>
      <c r="I160" s="26">
        <v>130964.8713</v>
      </c>
      <c r="J160" s="27">
        <v>2.2556842000000001E-2</v>
      </c>
      <c r="K160" s="28">
        <f t="shared" si="9"/>
        <v>0.30071971083689686</v>
      </c>
      <c r="L160" s="29">
        <f t="shared" si="11"/>
        <v>0</v>
      </c>
    </row>
    <row r="161" spans="2:12" x14ac:dyDescent="0.25">
      <c r="B161" s="43" t="s">
        <v>642</v>
      </c>
      <c r="C161" s="30">
        <v>90049.628315876267</v>
      </c>
      <c r="D161" s="31">
        <v>13.879555384</v>
      </c>
      <c r="E161" s="22">
        <v>90049.628299999997</v>
      </c>
      <c r="F161" s="23">
        <v>4.6479522290000004</v>
      </c>
      <c r="G161" s="24">
        <f t="shared" si="8"/>
        <v>-1.7630578580174122E-10</v>
      </c>
      <c r="H161" s="25">
        <f t="shared" si="10"/>
        <v>1</v>
      </c>
      <c r="I161" s="26">
        <v>110983.65700000001</v>
      </c>
      <c r="J161" s="27">
        <v>2.0933931999999999E-2</v>
      </c>
      <c r="K161" s="28">
        <f t="shared" si="9"/>
        <v>0.23247212759936456</v>
      </c>
      <c r="L161" s="29">
        <f t="shared" si="11"/>
        <v>0</v>
      </c>
    </row>
    <row r="162" spans="2:12" x14ac:dyDescent="0.25">
      <c r="B162" s="43" t="s">
        <v>643</v>
      </c>
      <c r="C162" s="30">
        <v>111962.79336540011</v>
      </c>
      <c r="D162" s="31">
        <v>11.008537156999999</v>
      </c>
      <c r="E162" s="22">
        <v>111962.7934</v>
      </c>
      <c r="F162" s="23">
        <v>5.4718892759999997</v>
      </c>
      <c r="G162" s="24">
        <f t="shared" si="8"/>
        <v>3.0903020612173363E-10</v>
      </c>
      <c r="H162" s="25">
        <f t="shared" si="10"/>
        <v>1</v>
      </c>
      <c r="I162" s="26">
        <v>114779.26730000001</v>
      </c>
      <c r="J162" s="27">
        <v>2.5587298000000001E-2</v>
      </c>
      <c r="K162" s="28">
        <f t="shared" si="9"/>
        <v>2.5155445393436143E-2</v>
      </c>
      <c r="L162" s="29">
        <f t="shared" si="11"/>
        <v>0</v>
      </c>
    </row>
    <row r="163" spans="2:12" x14ac:dyDescent="0.25">
      <c r="B163" s="43" t="s">
        <v>644</v>
      </c>
      <c r="C163" s="30">
        <v>112144.21936829042</v>
      </c>
      <c r="D163" s="31">
        <v>9.1565555819999993</v>
      </c>
      <c r="E163" s="22">
        <v>112144.2194</v>
      </c>
      <c r="F163" s="23">
        <v>5.9621306870000002</v>
      </c>
      <c r="G163" s="24">
        <f t="shared" si="8"/>
        <v>2.8275718434384641E-10</v>
      </c>
      <c r="H163" s="25">
        <f t="shared" si="10"/>
        <v>1</v>
      </c>
      <c r="I163" s="26">
        <v>140810.78109999999</v>
      </c>
      <c r="J163" s="27">
        <v>2.4653918E-2</v>
      </c>
      <c r="K163" s="28">
        <f t="shared" si="9"/>
        <v>0.2556222861346632</v>
      </c>
      <c r="L163" s="29">
        <f t="shared" si="11"/>
        <v>0</v>
      </c>
    </row>
    <row r="164" spans="2:12" x14ac:dyDescent="0.25">
      <c r="B164" s="43" t="s">
        <v>645</v>
      </c>
      <c r="C164" s="30">
        <v>91775.536529611432</v>
      </c>
      <c r="D164" s="31">
        <v>6.1250047629999997</v>
      </c>
      <c r="E164" s="22">
        <v>91775.536500000002</v>
      </c>
      <c r="F164" s="23">
        <v>5.2458571789999997</v>
      </c>
      <c r="G164" s="24">
        <f t="shared" si="8"/>
        <v>-3.2265058297071848E-10</v>
      </c>
      <c r="H164" s="25">
        <f t="shared" si="10"/>
        <v>1</v>
      </c>
      <c r="I164" s="26">
        <v>133231.5417</v>
      </c>
      <c r="J164" s="27">
        <v>3.9208928999999997E-2</v>
      </c>
      <c r="K164" s="28">
        <f t="shared" si="9"/>
        <v>0.45171084515548177</v>
      </c>
      <c r="L164" s="29">
        <f t="shared" si="11"/>
        <v>0</v>
      </c>
    </row>
    <row r="165" spans="2:12" x14ac:dyDescent="0.25">
      <c r="B165" s="43" t="s">
        <v>646</v>
      </c>
      <c r="C165" s="30">
        <v>83192.162050433239</v>
      </c>
      <c r="D165" s="31">
        <v>2.6674631510000002</v>
      </c>
      <c r="E165" s="22">
        <v>83192.162100000001</v>
      </c>
      <c r="F165" s="23">
        <v>5.2519725739999998</v>
      </c>
      <c r="G165" s="24">
        <f t="shared" si="8"/>
        <v>5.9581048902954317E-10</v>
      </c>
      <c r="H165" s="25">
        <f t="shared" si="10"/>
        <v>1</v>
      </c>
      <c r="I165" s="26">
        <v>107797.535</v>
      </c>
      <c r="J165" s="27">
        <v>2.1783324E-2</v>
      </c>
      <c r="K165" s="28">
        <f t="shared" si="9"/>
        <v>0.29576551856712596</v>
      </c>
      <c r="L165" s="29">
        <f t="shared" si="11"/>
        <v>0</v>
      </c>
    </row>
    <row r="166" spans="2:12" x14ac:dyDescent="0.25">
      <c r="B166" s="43" t="s">
        <v>647</v>
      </c>
      <c r="C166" s="30">
        <v>112261.28357559325</v>
      </c>
      <c r="D166" s="31">
        <v>13.503245649</v>
      </c>
      <c r="E166" s="22">
        <v>112261.2836</v>
      </c>
      <c r="F166" s="23">
        <v>6.3272879099999999</v>
      </c>
      <c r="G166" s="24">
        <f t="shared" si="8"/>
        <v>2.1741020528213969E-10</v>
      </c>
      <c r="H166" s="25">
        <f t="shared" si="10"/>
        <v>1</v>
      </c>
      <c r="I166" s="26">
        <v>151208.10339999999</v>
      </c>
      <c r="J166" s="27">
        <v>2.2880383000000001E-2</v>
      </c>
      <c r="K166" s="28">
        <f t="shared" si="9"/>
        <v>0.34693011324942824</v>
      </c>
      <c r="L166" s="29">
        <f t="shared" si="11"/>
        <v>0</v>
      </c>
    </row>
    <row r="167" spans="2:12" x14ac:dyDescent="0.25">
      <c r="B167" s="43" t="s">
        <v>648</v>
      </c>
      <c r="C167" s="30">
        <v>79842.035315851695</v>
      </c>
      <c r="D167" s="31">
        <v>1.428917218</v>
      </c>
      <c r="E167" s="22">
        <v>79842.035300000003</v>
      </c>
      <c r="F167" s="23">
        <v>5.2365265000000001</v>
      </c>
      <c r="G167" s="24">
        <f t="shared" si="8"/>
        <v>-1.9853817896620443E-10</v>
      </c>
      <c r="H167" s="25">
        <f t="shared" si="10"/>
        <v>1</v>
      </c>
      <c r="I167" s="26">
        <v>93779.189499999993</v>
      </c>
      <c r="J167" s="27">
        <v>2.7955674E-2</v>
      </c>
      <c r="K167" s="28">
        <f t="shared" si="9"/>
        <v>0.1745591044743976</v>
      </c>
      <c r="L167" s="29">
        <f t="shared" si="11"/>
        <v>0</v>
      </c>
    </row>
    <row r="168" spans="2:12" x14ac:dyDescent="0.25">
      <c r="B168" s="43" t="s">
        <v>649</v>
      </c>
      <c r="C168" s="30">
        <v>107611.92482220641</v>
      </c>
      <c r="D168" s="31">
        <v>5.7062607300000003</v>
      </c>
      <c r="E168" s="22">
        <v>107611.92479999999</v>
      </c>
      <c r="F168" s="23">
        <v>5.7892599669999996</v>
      </c>
      <c r="G168" s="24">
        <f t="shared" si="8"/>
        <v>-2.0635642239533059E-10</v>
      </c>
      <c r="H168" s="25">
        <f t="shared" si="10"/>
        <v>1</v>
      </c>
      <c r="I168" s="26">
        <v>136543.32370000001</v>
      </c>
      <c r="J168" s="27">
        <v>2.3092963000000001E-2</v>
      </c>
      <c r="K168" s="28">
        <f t="shared" si="9"/>
        <v>0.26884937636412787</v>
      </c>
      <c r="L168" s="29">
        <f t="shared" si="11"/>
        <v>0</v>
      </c>
    </row>
    <row r="169" spans="2:12" x14ac:dyDescent="0.25">
      <c r="B169" s="43" t="s">
        <v>650</v>
      </c>
      <c r="C169" s="30">
        <v>97323.841456110662</v>
      </c>
      <c r="D169" s="31">
        <v>29.084451179999999</v>
      </c>
      <c r="E169" s="22">
        <v>97323.841499999995</v>
      </c>
      <c r="F169" s="23">
        <v>1.370282773</v>
      </c>
      <c r="G169" s="24">
        <f t="shared" si="8"/>
        <v>4.5096178255703885E-10</v>
      </c>
      <c r="H169" s="25">
        <f t="shared" si="10"/>
        <v>1</v>
      </c>
      <c r="I169" s="26">
        <v>114591.67879999999</v>
      </c>
      <c r="J169" s="27">
        <v>1.1644743000000001E-2</v>
      </c>
      <c r="K169" s="28">
        <f t="shared" si="9"/>
        <v>0.17742659029418262</v>
      </c>
      <c r="L169" s="29">
        <f t="shared" si="11"/>
        <v>0</v>
      </c>
    </row>
    <row r="170" spans="2:12" x14ac:dyDescent="0.25">
      <c r="B170" s="43" t="s">
        <v>651</v>
      </c>
      <c r="C170" s="30">
        <v>111929.8908176948</v>
      </c>
      <c r="D170" s="31">
        <v>22.853836833999999</v>
      </c>
      <c r="E170" s="22">
        <v>111929.89079999999</v>
      </c>
      <c r="F170" s="23">
        <v>1.3861791640000001</v>
      </c>
      <c r="G170" s="24">
        <f t="shared" si="8"/>
        <v>-1.5808832338074368E-10</v>
      </c>
      <c r="H170" s="25">
        <f t="shared" si="10"/>
        <v>1</v>
      </c>
      <c r="I170" s="26">
        <v>140749.7934</v>
      </c>
      <c r="J170" s="27">
        <v>1.9802106E-2</v>
      </c>
      <c r="K170" s="28">
        <f t="shared" si="9"/>
        <v>0.25748173585950734</v>
      </c>
      <c r="L170" s="29">
        <f t="shared" si="11"/>
        <v>0</v>
      </c>
    </row>
    <row r="171" spans="2:12" x14ac:dyDescent="0.25">
      <c r="B171" s="43" t="s">
        <v>652</v>
      </c>
      <c r="C171" s="30">
        <v>105304.94231041148</v>
      </c>
      <c r="D171" s="31">
        <v>21.771284326</v>
      </c>
      <c r="E171" s="22">
        <v>105304.9423</v>
      </c>
      <c r="F171" s="23">
        <v>1.3889550820000001</v>
      </c>
      <c r="G171" s="24">
        <f t="shared" si="8"/>
        <v>-9.8869888381684299E-11</v>
      </c>
      <c r="H171" s="25">
        <f t="shared" si="10"/>
        <v>1</v>
      </c>
      <c r="I171" s="26">
        <v>140877.45170000001</v>
      </c>
      <c r="J171" s="27">
        <v>1.9716926999999999E-2</v>
      </c>
      <c r="K171" s="28">
        <f t="shared" si="9"/>
        <v>0.33780474694843904</v>
      </c>
      <c r="L171" s="29">
        <f t="shared" si="11"/>
        <v>0</v>
      </c>
    </row>
    <row r="172" spans="2:12" x14ac:dyDescent="0.25">
      <c r="B172" s="43" t="s">
        <v>653</v>
      </c>
      <c r="C172" s="30">
        <v>112874.1708470585</v>
      </c>
      <c r="D172" s="31">
        <v>35.464970014999999</v>
      </c>
      <c r="E172" s="22">
        <v>112874.17080000001</v>
      </c>
      <c r="F172" s="23">
        <v>2.0123877640000001</v>
      </c>
      <c r="G172" s="24">
        <f t="shared" si="8"/>
        <v>-4.1691108275150677E-10</v>
      </c>
      <c r="H172" s="25">
        <f t="shared" si="10"/>
        <v>1</v>
      </c>
      <c r="I172" s="26">
        <v>125496.37239999999</v>
      </c>
      <c r="J172" s="27">
        <v>2.1260368000000002E-2</v>
      </c>
      <c r="K172" s="28">
        <f t="shared" si="9"/>
        <v>0.11182541991864764</v>
      </c>
      <c r="L172" s="29">
        <f t="shared" si="11"/>
        <v>0</v>
      </c>
    </row>
    <row r="173" spans="2:12" x14ac:dyDescent="0.25">
      <c r="B173" s="43" t="s">
        <v>654</v>
      </c>
      <c r="C173" s="30">
        <v>75868.970263870811</v>
      </c>
      <c r="D173" s="31">
        <v>34.559971703000002</v>
      </c>
      <c r="E173" s="22">
        <v>75868.970300000001</v>
      </c>
      <c r="F173" s="23">
        <v>1.263624286</v>
      </c>
      <c r="G173" s="24">
        <f t="shared" si="8"/>
        <v>4.7620508638924185E-10</v>
      </c>
      <c r="H173" s="25">
        <f t="shared" si="10"/>
        <v>1</v>
      </c>
      <c r="I173" s="26">
        <v>76100.672000000006</v>
      </c>
      <c r="J173" s="27">
        <v>2.0843260999999998E-2</v>
      </c>
      <c r="K173" s="28">
        <f t="shared" si="9"/>
        <v>3.0539723331335653E-3</v>
      </c>
      <c r="L173" s="29">
        <f t="shared" si="11"/>
        <v>0</v>
      </c>
    </row>
    <row r="174" spans="2:12" x14ac:dyDescent="0.25">
      <c r="B174" s="43" t="s">
        <v>655</v>
      </c>
      <c r="C174" s="30">
        <v>119013.99616231868</v>
      </c>
      <c r="D174" s="31">
        <v>33.222998908999998</v>
      </c>
      <c r="E174" s="22">
        <v>119013.99619999999</v>
      </c>
      <c r="F174" s="23">
        <v>1.2801571329999999</v>
      </c>
      <c r="G174" s="24">
        <f t="shared" si="8"/>
        <v>3.1661243705782425E-10</v>
      </c>
      <c r="H174" s="25">
        <f t="shared" si="10"/>
        <v>1</v>
      </c>
      <c r="I174" s="26">
        <v>149404.3027</v>
      </c>
      <c r="J174" s="27">
        <v>2.9340545999999999E-2</v>
      </c>
      <c r="K174" s="28">
        <f t="shared" si="9"/>
        <v>0.25535069418417922</v>
      </c>
      <c r="L174" s="29">
        <f t="shared" si="11"/>
        <v>0</v>
      </c>
    </row>
    <row r="175" spans="2:12" x14ac:dyDescent="0.25">
      <c r="B175" s="43" t="s">
        <v>656</v>
      </c>
      <c r="C175" s="30">
        <v>88420.013579330378</v>
      </c>
      <c r="D175" s="31">
        <v>23.428335271000002</v>
      </c>
      <c r="E175" s="22">
        <v>88420.013600000006</v>
      </c>
      <c r="F175" s="23">
        <v>1.2792503470000001</v>
      </c>
      <c r="G175" s="24">
        <f t="shared" si="8"/>
        <v>2.3376639366062608E-10</v>
      </c>
      <c r="H175" s="25">
        <f t="shared" si="10"/>
        <v>1</v>
      </c>
      <c r="I175" s="26">
        <v>91367.433799999999</v>
      </c>
      <c r="J175" s="27">
        <v>1.0075842999999999E-2</v>
      </c>
      <c r="K175" s="28">
        <f t="shared" si="9"/>
        <v>3.3334310880027147E-2</v>
      </c>
      <c r="L175" s="29">
        <f t="shared" si="11"/>
        <v>0</v>
      </c>
    </row>
    <row r="176" spans="2:12" x14ac:dyDescent="0.25">
      <c r="B176" s="43" t="s">
        <v>657</v>
      </c>
      <c r="C176" s="30">
        <v>86898.779993082906</v>
      </c>
      <c r="D176" s="31">
        <v>19.200061723000001</v>
      </c>
      <c r="E176" s="22">
        <v>86898.78</v>
      </c>
      <c r="F176" s="23">
        <v>1.316036311</v>
      </c>
      <c r="G176" s="24">
        <f t="shared" si="8"/>
        <v>7.9599423988314541E-11</v>
      </c>
      <c r="H176" s="25">
        <f t="shared" si="10"/>
        <v>1</v>
      </c>
      <c r="I176" s="26">
        <v>90255.279500000004</v>
      </c>
      <c r="J176" s="27">
        <v>1.3361691E-2</v>
      </c>
      <c r="K176" s="28">
        <f t="shared" si="9"/>
        <v>3.8625392752168371E-2</v>
      </c>
      <c r="L176" s="29">
        <f t="shared" si="11"/>
        <v>0</v>
      </c>
    </row>
    <row r="177" spans="2:12" x14ac:dyDescent="0.25">
      <c r="B177" s="43" t="s">
        <v>658</v>
      </c>
      <c r="C177" s="30">
        <v>97069.968971902112</v>
      </c>
      <c r="D177" s="31">
        <v>25.127361804</v>
      </c>
      <c r="E177" s="22">
        <v>97069.968999999997</v>
      </c>
      <c r="F177" s="23">
        <v>1.2332973629999999</v>
      </c>
      <c r="G177" s="24">
        <f t="shared" si="8"/>
        <v>2.8946012817785466E-10</v>
      </c>
      <c r="H177" s="25">
        <f t="shared" si="10"/>
        <v>1</v>
      </c>
      <c r="I177" s="26">
        <v>106508.6246</v>
      </c>
      <c r="J177" s="27">
        <v>1.2653605E-2</v>
      </c>
      <c r="K177" s="28">
        <f t="shared" si="9"/>
        <v>9.7235589215342172E-2</v>
      </c>
      <c r="L177" s="29">
        <f t="shared" si="11"/>
        <v>0</v>
      </c>
    </row>
    <row r="178" spans="2:12" x14ac:dyDescent="0.25">
      <c r="B178" s="43" t="s">
        <v>659</v>
      </c>
      <c r="C178" s="30">
        <v>126589.99233003611</v>
      </c>
      <c r="D178" s="31">
        <v>54.860983496999999</v>
      </c>
      <c r="E178" s="22">
        <v>126589.9923</v>
      </c>
      <c r="F178" s="23">
        <v>1.614942074</v>
      </c>
      <c r="G178" s="24">
        <f t="shared" si="8"/>
        <v>-2.3727083717207526E-10</v>
      </c>
      <c r="H178" s="25">
        <f t="shared" si="10"/>
        <v>1</v>
      </c>
      <c r="I178" s="26">
        <v>129082.72530000001</v>
      </c>
      <c r="J178" s="27">
        <v>1.4280654E-2</v>
      </c>
      <c r="K178" s="28">
        <f t="shared" si="9"/>
        <v>1.9691390481050224E-2</v>
      </c>
      <c r="L178" s="29">
        <f t="shared" si="11"/>
        <v>0</v>
      </c>
    </row>
    <row r="179" spans="2:12" x14ac:dyDescent="0.25">
      <c r="B179" s="43" t="s">
        <v>660</v>
      </c>
      <c r="C179" s="30">
        <v>92817.5183464539</v>
      </c>
      <c r="D179" s="31">
        <v>52.262472348999999</v>
      </c>
      <c r="E179" s="22">
        <v>92817.518299999996</v>
      </c>
      <c r="F179" s="23">
        <v>2.2429809540000001</v>
      </c>
      <c r="G179" s="24">
        <f t="shared" si="8"/>
        <v>-5.0048638649373601E-10</v>
      </c>
      <c r="H179" s="25">
        <f t="shared" si="10"/>
        <v>1</v>
      </c>
      <c r="I179" s="26">
        <v>112965.60799999999</v>
      </c>
      <c r="J179" s="27">
        <v>1.2466842000000001E-2</v>
      </c>
      <c r="K179" s="28">
        <f t="shared" si="9"/>
        <v>0.21707205722028283</v>
      </c>
      <c r="L179" s="29">
        <f t="shared" si="11"/>
        <v>0</v>
      </c>
    </row>
    <row r="180" spans="2:12" x14ac:dyDescent="0.25">
      <c r="B180" s="43" t="s">
        <v>661</v>
      </c>
      <c r="C180" s="30">
        <v>79679.218545881376</v>
      </c>
      <c r="D180" s="31">
        <v>39.845808843999997</v>
      </c>
      <c r="E180" s="22">
        <v>79679.218500000003</v>
      </c>
      <c r="F180" s="23">
        <v>2.351203602</v>
      </c>
      <c r="G180" s="24">
        <f t="shared" si="8"/>
        <v>-5.7582610177543603E-10</v>
      </c>
      <c r="H180" s="25">
        <f t="shared" si="10"/>
        <v>1</v>
      </c>
      <c r="I180" s="26">
        <v>97176.528999999995</v>
      </c>
      <c r="J180" s="27">
        <v>1.1633562E-2</v>
      </c>
      <c r="K180" s="28">
        <f t="shared" si="9"/>
        <v>0.21959691339145362</v>
      </c>
      <c r="L180" s="29">
        <f t="shared" si="11"/>
        <v>0</v>
      </c>
    </row>
    <row r="181" spans="2:12" x14ac:dyDescent="0.25">
      <c r="B181" s="43" t="s">
        <v>662</v>
      </c>
      <c r="C181" s="30">
        <v>86202.348007009699</v>
      </c>
      <c r="D181" s="31">
        <v>71.920444244999999</v>
      </c>
      <c r="E181" s="22">
        <v>86202.347999999998</v>
      </c>
      <c r="F181" s="23">
        <v>2.4512856799999998</v>
      </c>
      <c r="G181" s="24">
        <f t="shared" si="8"/>
        <v>-8.1316824695772683E-11</v>
      </c>
      <c r="H181" s="25">
        <f t="shared" si="10"/>
        <v>1</v>
      </c>
      <c r="I181" s="26">
        <v>94252.4231</v>
      </c>
      <c r="J181" s="27">
        <v>1.2853913E-2</v>
      </c>
      <c r="K181" s="28">
        <f t="shared" si="9"/>
        <v>9.3385798404652443E-2</v>
      </c>
      <c r="L181" s="29">
        <f t="shared" si="11"/>
        <v>0</v>
      </c>
    </row>
    <row r="182" spans="2:12" x14ac:dyDescent="0.25">
      <c r="B182" s="43" t="s">
        <v>663</v>
      </c>
      <c r="C182" s="30">
        <v>84523.317225968596</v>
      </c>
      <c r="D182" s="31">
        <v>47.000853925000001</v>
      </c>
      <c r="E182" s="22">
        <v>84523.317200000005</v>
      </c>
      <c r="F182" s="23">
        <v>2.1457258709999998</v>
      </c>
      <c r="G182" s="24">
        <f t="shared" si="8"/>
        <v>-3.072358263877169E-10</v>
      </c>
      <c r="H182" s="25">
        <f t="shared" si="10"/>
        <v>1</v>
      </c>
      <c r="I182" s="26">
        <v>96477.831000000006</v>
      </c>
      <c r="J182" s="27">
        <v>1.2689061999999999E-2</v>
      </c>
      <c r="K182" s="28">
        <f t="shared" si="9"/>
        <v>0.1414345078538701</v>
      </c>
      <c r="L182" s="29">
        <f t="shared" si="11"/>
        <v>0</v>
      </c>
    </row>
    <row r="183" spans="2:12" x14ac:dyDescent="0.25">
      <c r="B183" s="43" t="s">
        <v>664</v>
      </c>
      <c r="C183" s="30">
        <v>89561.72693592665</v>
      </c>
      <c r="D183" s="31">
        <v>38.200959155</v>
      </c>
      <c r="E183" s="22">
        <v>89561.726899999994</v>
      </c>
      <c r="F183" s="23">
        <v>2.4214192620000001</v>
      </c>
      <c r="G183" s="24">
        <f t="shared" si="8"/>
        <v>-4.0113849086812829E-10</v>
      </c>
      <c r="H183" s="25">
        <f t="shared" si="10"/>
        <v>1</v>
      </c>
      <c r="I183" s="26">
        <v>106723.56819999999</v>
      </c>
      <c r="J183" s="27">
        <v>1.365299E-2</v>
      </c>
      <c r="K183" s="28">
        <f t="shared" si="9"/>
        <v>0.19162025846543909</v>
      </c>
      <c r="L183" s="29">
        <f t="shared" si="11"/>
        <v>0</v>
      </c>
    </row>
    <row r="184" spans="2:12" x14ac:dyDescent="0.25">
      <c r="B184" s="43" t="s">
        <v>665</v>
      </c>
      <c r="C184" s="30">
        <v>80248.655827275274</v>
      </c>
      <c r="D184" s="31">
        <v>43.240160156000002</v>
      </c>
      <c r="E184" s="22">
        <v>80248.655799999993</v>
      </c>
      <c r="F184" s="23">
        <v>2.574901471</v>
      </c>
      <c r="G184" s="24">
        <f t="shared" si="8"/>
        <v>-3.398845770524715E-10</v>
      </c>
      <c r="H184" s="25">
        <f t="shared" si="10"/>
        <v>1</v>
      </c>
      <c r="I184" s="26">
        <v>86046.995999999999</v>
      </c>
      <c r="J184" s="27">
        <v>1.5111751E-2</v>
      </c>
      <c r="K184" s="28">
        <f t="shared" si="9"/>
        <v>7.2254670348683395E-2</v>
      </c>
      <c r="L184" s="29">
        <f t="shared" si="11"/>
        <v>0</v>
      </c>
    </row>
    <row r="185" spans="2:12" x14ac:dyDescent="0.25">
      <c r="B185" s="43" t="s">
        <v>666</v>
      </c>
      <c r="C185" s="30">
        <v>89982.009112381711</v>
      </c>
      <c r="D185" s="31">
        <v>36.876704545999999</v>
      </c>
      <c r="E185" s="22">
        <v>89982.009099999996</v>
      </c>
      <c r="F185" s="23">
        <v>2.0710456490000002</v>
      </c>
      <c r="G185" s="24">
        <f t="shared" si="8"/>
        <v>-1.3760212150098137E-10</v>
      </c>
      <c r="H185" s="25">
        <f t="shared" si="10"/>
        <v>1</v>
      </c>
      <c r="I185" s="26">
        <v>120570.4084</v>
      </c>
      <c r="J185" s="27">
        <v>4.6987079000000001E-2</v>
      </c>
      <c r="K185" s="28">
        <f t="shared" si="9"/>
        <v>0.33993905658869383</v>
      </c>
      <c r="L185" s="29">
        <f t="shared" si="11"/>
        <v>0</v>
      </c>
    </row>
    <row r="186" spans="2:12" x14ac:dyDescent="0.25">
      <c r="B186" s="43" t="s">
        <v>667</v>
      </c>
      <c r="C186" s="30">
        <v>71865.398898876345</v>
      </c>
      <c r="D186" s="31">
        <v>34.670727810000002</v>
      </c>
      <c r="E186" s="22">
        <v>71865.3989</v>
      </c>
      <c r="F186" s="23">
        <v>2.043943257</v>
      </c>
      <c r="G186" s="24">
        <f t="shared" si="8"/>
        <v>1.5635552789040069E-11</v>
      </c>
      <c r="H186" s="25">
        <f t="shared" si="10"/>
        <v>1</v>
      </c>
      <c r="I186" s="26">
        <v>77689.808600000004</v>
      </c>
      <c r="J186" s="27">
        <v>1.196209E-2</v>
      </c>
      <c r="K186" s="28">
        <f t="shared" si="9"/>
        <v>8.1046091587404057E-2</v>
      </c>
      <c r="L186" s="29">
        <f t="shared" si="11"/>
        <v>0</v>
      </c>
    </row>
    <row r="187" spans="2:12" x14ac:dyDescent="0.25">
      <c r="B187" s="43" t="s">
        <v>668</v>
      </c>
      <c r="C187" s="30">
        <v>82287.473176074884</v>
      </c>
      <c r="D187" s="31">
        <v>57.249697879000003</v>
      </c>
      <c r="E187" s="22">
        <v>82287.473199999993</v>
      </c>
      <c r="F187" s="23">
        <v>2.2160027260000001</v>
      </c>
      <c r="G187" s="24">
        <f t="shared" si="8"/>
        <v>2.9075032315044975E-10</v>
      </c>
      <c r="H187" s="25">
        <f t="shared" si="10"/>
        <v>1</v>
      </c>
      <c r="I187" s="26">
        <v>95450.095199999996</v>
      </c>
      <c r="J187" s="27">
        <v>1.1835571E-2</v>
      </c>
      <c r="K187" s="28">
        <f t="shared" si="9"/>
        <v>0.15995900124142043</v>
      </c>
      <c r="L187" s="29">
        <f t="shared" si="11"/>
        <v>0</v>
      </c>
    </row>
    <row r="188" spans="2:12" x14ac:dyDescent="0.25">
      <c r="B188" s="43" t="s">
        <v>669</v>
      </c>
      <c r="C188" s="30">
        <v>83444.034424463985</v>
      </c>
      <c r="D188" s="31">
        <v>37.357230618000003</v>
      </c>
      <c r="E188" s="22">
        <v>83444.034400000004</v>
      </c>
      <c r="F188" s="23">
        <v>2.2199483309999999</v>
      </c>
      <c r="G188" s="24">
        <f t="shared" si="8"/>
        <v>-2.9317831476790486E-10</v>
      </c>
      <c r="H188" s="25">
        <f t="shared" si="10"/>
        <v>1</v>
      </c>
      <c r="I188" s="26">
        <v>91323.780199999994</v>
      </c>
      <c r="J188" s="27">
        <v>1.2909968000000001E-2</v>
      </c>
      <c r="K188" s="28">
        <f t="shared" si="9"/>
        <v>9.4431505258401521E-2</v>
      </c>
      <c r="L188" s="29">
        <f t="shared" si="11"/>
        <v>0</v>
      </c>
    </row>
    <row r="189" spans="2:12" x14ac:dyDescent="0.25">
      <c r="B189" s="43" t="s">
        <v>670</v>
      </c>
      <c r="C189" s="30">
        <v>63168.977739224363</v>
      </c>
      <c r="D189" s="31">
        <v>33.746633221000003</v>
      </c>
      <c r="E189" s="22">
        <v>63168.977700000003</v>
      </c>
      <c r="F189" s="23">
        <v>3.6619368350000001</v>
      </c>
      <c r="G189" s="24">
        <f t="shared" si="8"/>
        <v>-6.2094340424341077E-10</v>
      </c>
      <c r="H189" s="25">
        <f t="shared" si="10"/>
        <v>1</v>
      </c>
      <c r="I189" s="26">
        <v>68190.720000000001</v>
      </c>
      <c r="J189" s="27">
        <v>1.5212731E-2</v>
      </c>
      <c r="K189" s="28">
        <f t="shared" si="9"/>
        <v>7.9496968931593456E-2</v>
      </c>
      <c r="L189" s="29">
        <f t="shared" si="11"/>
        <v>0</v>
      </c>
    </row>
    <row r="190" spans="2:12" x14ac:dyDescent="0.25">
      <c r="B190" s="43" t="s">
        <v>671</v>
      </c>
      <c r="C190" s="30">
        <v>53768.144198940368</v>
      </c>
      <c r="D190" s="31">
        <v>32.584517148000003</v>
      </c>
      <c r="E190" s="22">
        <v>53768.144200000002</v>
      </c>
      <c r="F190" s="23">
        <v>3.318015822</v>
      </c>
      <c r="G190" s="24">
        <f t="shared" si="8"/>
        <v>1.970746996996943E-11</v>
      </c>
      <c r="H190" s="25">
        <f t="shared" si="10"/>
        <v>1</v>
      </c>
      <c r="I190" s="26">
        <v>63637.875099999997</v>
      </c>
      <c r="J190" s="27">
        <v>1.5861714999999998E-2</v>
      </c>
      <c r="K190" s="28">
        <f t="shared" si="9"/>
        <v>0.18356093646345592</v>
      </c>
      <c r="L190" s="29">
        <f t="shared" si="11"/>
        <v>0</v>
      </c>
    </row>
    <row r="191" spans="2:12" x14ac:dyDescent="0.25">
      <c r="B191" s="43" t="s">
        <v>672</v>
      </c>
      <c r="C191" s="30">
        <v>74414.336161314044</v>
      </c>
      <c r="D191" s="31">
        <v>46.434874553999997</v>
      </c>
      <c r="E191" s="22">
        <v>74414.336200000005</v>
      </c>
      <c r="F191" s="23">
        <v>3.515341871</v>
      </c>
      <c r="G191" s="24">
        <f t="shared" si="8"/>
        <v>5.1987242028915981E-10</v>
      </c>
      <c r="H191" s="25">
        <f t="shared" si="10"/>
        <v>1</v>
      </c>
      <c r="I191" s="26">
        <v>99030.158200000005</v>
      </c>
      <c r="J191" s="27">
        <v>1.5910507000000001E-2</v>
      </c>
      <c r="K191" s="28">
        <f t="shared" si="9"/>
        <v>0.33079408227635371</v>
      </c>
      <c r="L191" s="29">
        <f t="shared" si="11"/>
        <v>0</v>
      </c>
    </row>
    <row r="192" spans="2:12" x14ac:dyDescent="0.25">
      <c r="B192" s="43" t="s">
        <v>673</v>
      </c>
      <c r="C192" s="30">
        <v>60856.143572615198</v>
      </c>
      <c r="D192" s="31">
        <v>41.374042437</v>
      </c>
      <c r="E192" s="22">
        <v>60856.143600000003</v>
      </c>
      <c r="F192" s="23">
        <v>3.262088098</v>
      </c>
      <c r="G192" s="24">
        <f t="shared" si="8"/>
        <v>4.4999245478269292E-10</v>
      </c>
      <c r="H192" s="25">
        <f t="shared" si="10"/>
        <v>1</v>
      </c>
      <c r="I192" s="26">
        <v>75091.353099999993</v>
      </c>
      <c r="J192" s="27">
        <v>1.6179764999999999E-2</v>
      </c>
      <c r="K192" s="28">
        <f t="shared" si="9"/>
        <v>0.23391573457820175</v>
      </c>
      <c r="L192" s="29">
        <f t="shared" si="11"/>
        <v>0</v>
      </c>
    </row>
    <row r="193" spans="2:12" x14ac:dyDescent="0.25">
      <c r="B193" s="43" t="s">
        <v>674</v>
      </c>
      <c r="C193" s="30">
        <v>83954.100822883862</v>
      </c>
      <c r="D193" s="31">
        <v>57.531712155999998</v>
      </c>
      <c r="E193" s="22">
        <v>83954.1008</v>
      </c>
      <c r="F193" s="23">
        <v>3.4406455810000001</v>
      </c>
      <c r="G193" s="24">
        <f t="shared" ref="G193:G248" si="12">(E193-C193)/C193</f>
        <v>-2.7257586527196281E-10</v>
      </c>
      <c r="H193" s="25">
        <f t="shared" si="10"/>
        <v>1</v>
      </c>
      <c r="I193" s="26">
        <v>99773.859700000001</v>
      </c>
      <c r="J193" s="27">
        <v>1.8843999E-2</v>
      </c>
      <c r="K193" s="28">
        <f t="shared" ref="K193:K248" si="13">(I193-C193)/C193</f>
        <v>0.18843342638486166</v>
      </c>
      <c r="L193" s="29">
        <f t="shared" si="11"/>
        <v>0</v>
      </c>
    </row>
    <row r="194" spans="2:12" x14ac:dyDescent="0.25">
      <c r="B194" s="43" t="s">
        <v>675</v>
      </c>
      <c r="C194" s="30">
        <v>89243.038992481685</v>
      </c>
      <c r="D194" s="31">
        <v>53.180671574000002</v>
      </c>
      <c r="E194" s="22">
        <v>89243.039000000004</v>
      </c>
      <c r="F194" s="23">
        <v>3.4917621909999998</v>
      </c>
      <c r="G194" s="24">
        <f t="shared" si="12"/>
        <v>8.4245447568692276E-11</v>
      </c>
      <c r="H194" s="25">
        <f t="shared" ref="H194:H248" si="14">IF(G194&lt;0.000001,1,0)</f>
        <v>1</v>
      </c>
      <c r="I194" s="26">
        <v>98390.760399999999</v>
      </c>
      <c r="J194" s="27">
        <v>2.189818E-2</v>
      </c>
      <c r="K194" s="28">
        <f t="shared" si="13"/>
        <v>0.10250347266064043</v>
      </c>
      <c r="L194" s="29">
        <f t="shared" ref="L194:L248" si="15">IF(K194&lt;0.000001,1,0)</f>
        <v>0</v>
      </c>
    </row>
    <row r="195" spans="2:12" x14ac:dyDescent="0.25">
      <c r="B195" s="43" t="s">
        <v>676</v>
      </c>
      <c r="C195" s="30">
        <v>102747.21953322447</v>
      </c>
      <c r="D195" s="31">
        <v>57.775600236000002</v>
      </c>
      <c r="E195" s="22">
        <v>102747.21950000001</v>
      </c>
      <c r="F195" s="23">
        <v>3.326199565</v>
      </c>
      <c r="G195" s="24">
        <f t="shared" si="12"/>
        <v>-3.2336122903429404E-10</v>
      </c>
      <c r="H195" s="25">
        <f t="shared" si="14"/>
        <v>1</v>
      </c>
      <c r="I195" s="26">
        <v>119333.785</v>
      </c>
      <c r="J195" s="27">
        <v>2.3694518000000001E-2</v>
      </c>
      <c r="K195" s="28">
        <f t="shared" si="13"/>
        <v>0.1614307962991843</v>
      </c>
      <c r="L195" s="29">
        <f t="shared" si="15"/>
        <v>0</v>
      </c>
    </row>
    <row r="196" spans="2:12" x14ac:dyDescent="0.25">
      <c r="B196" s="43" t="s">
        <v>677</v>
      </c>
      <c r="C196" s="30">
        <v>61720.160001904966</v>
      </c>
      <c r="D196" s="31">
        <v>40.794878597999997</v>
      </c>
      <c r="E196" s="22">
        <v>61720.160000000003</v>
      </c>
      <c r="F196" s="23">
        <v>3.6581440079999998</v>
      </c>
      <c r="G196" s="24">
        <f t="shared" si="12"/>
        <v>-3.0864503893966767E-11</v>
      </c>
      <c r="H196" s="25">
        <f t="shared" si="14"/>
        <v>1</v>
      </c>
      <c r="I196" s="26">
        <v>70102.380699999994</v>
      </c>
      <c r="J196" s="27">
        <v>3.6294642000000002E-2</v>
      </c>
      <c r="K196" s="28">
        <f t="shared" si="13"/>
        <v>0.13581009345789632</v>
      </c>
      <c r="L196" s="29">
        <f t="shared" si="15"/>
        <v>0</v>
      </c>
    </row>
    <row r="197" spans="2:12" x14ac:dyDescent="0.25">
      <c r="B197" s="43" t="s">
        <v>678</v>
      </c>
      <c r="C197" s="30">
        <v>71104.400786618164</v>
      </c>
      <c r="D197" s="31">
        <v>35.654553745999998</v>
      </c>
      <c r="E197" s="22">
        <v>71104.400800000003</v>
      </c>
      <c r="F197" s="23">
        <v>3.2929415309999999</v>
      </c>
      <c r="G197" s="24">
        <f t="shared" si="12"/>
        <v>1.8819987557110555E-10</v>
      </c>
      <c r="H197" s="25">
        <f t="shared" si="14"/>
        <v>1</v>
      </c>
      <c r="I197" s="26">
        <v>78552.204299999998</v>
      </c>
      <c r="J197" s="27">
        <v>1.5849401999999999E-2</v>
      </c>
      <c r="K197" s="28">
        <f t="shared" si="13"/>
        <v>0.10474462102187505</v>
      </c>
      <c r="L197" s="29">
        <f t="shared" si="15"/>
        <v>0</v>
      </c>
    </row>
    <row r="198" spans="2:12" x14ac:dyDescent="0.25">
      <c r="B198" s="43" t="s">
        <v>679</v>
      </c>
      <c r="C198" s="30">
        <v>73838.385397508406</v>
      </c>
      <c r="D198" s="31">
        <v>57.742681007000002</v>
      </c>
      <c r="E198" s="22">
        <v>73838.385399999999</v>
      </c>
      <c r="F198" s="23">
        <v>3.3865638470000001</v>
      </c>
      <c r="G198" s="24">
        <f t="shared" si="12"/>
        <v>3.3743878118443753E-11</v>
      </c>
      <c r="H198" s="25">
        <f t="shared" si="14"/>
        <v>1</v>
      </c>
      <c r="I198" s="26">
        <v>104922.8958</v>
      </c>
      <c r="J198" s="27">
        <v>1.6397707000000001E-2</v>
      </c>
      <c r="K198" s="28">
        <f t="shared" si="13"/>
        <v>0.42098036455088178</v>
      </c>
      <c r="L198" s="29">
        <f t="shared" si="15"/>
        <v>0</v>
      </c>
    </row>
    <row r="199" spans="2:12" x14ac:dyDescent="0.25">
      <c r="B199" s="43" t="s">
        <v>680</v>
      </c>
      <c r="C199" s="30">
        <v>71732.53203510202</v>
      </c>
      <c r="D199" s="31">
        <v>67.984739723999994</v>
      </c>
      <c r="E199" s="22">
        <v>71732.532000000007</v>
      </c>
      <c r="F199" s="23">
        <v>5.1396459339999998</v>
      </c>
      <c r="G199" s="24">
        <f t="shared" si="12"/>
        <v>-4.8934580311995216E-10</v>
      </c>
      <c r="H199" s="25">
        <f t="shared" si="14"/>
        <v>1</v>
      </c>
      <c r="I199" s="26">
        <v>78430.790200000003</v>
      </c>
      <c r="J199" s="27">
        <v>2.0367894000000001E-2</v>
      </c>
      <c r="K199" s="28">
        <f t="shared" si="13"/>
        <v>9.3378247984055793E-2</v>
      </c>
      <c r="L199" s="29">
        <f t="shared" si="15"/>
        <v>0</v>
      </c>
    </row>
    <row r="200" spans="2:12" x14ac:dyDescent="0.25">
      <c r="B200" s="43" t="s">
        <v>681</v>
      </c>
      <c r="C200" s="30">
        <v>54234.922165994118</v>
      </c>
      <c r="D200" s="31">
        <v>45.874444918000002</v>
      </c>
      <c r="E200" s="22">
        <v>54234.922200000001</v>
      </c>
      <c r="F200" s="23">
        <v>4.6031866069999996</v>
      </c>
      <c r="G200" s="24">
        <f t="shared" si="12"/>
        <v>6.2701082346776925E-10</v>
      </c>
      <c r="H200" s="25">
        <f t="shared" si="14"/>
        <v>1</v>
      </c>
      <c r="I200" s="26">
        <v>70254.667100000006</v>
      </c>
      <c r="J200" s="27">
        <v>2.7551965000000001E-2</v>
      </c>
      <c r="K200" s="28">
        <f t="shared" si="13"/>
        <v>0.29537693232001061</v>
      </c>
      <c r="L200" s="29">
        <f t="shared" si="15"/>
        <v>0</v>
      </c>
    </row>
    <row r="201" spans="2:12" x14ac:dyDescent="0.25">
      <c r="B201" s="43" t="s">
        <v>682</v>
      </c>
      <c r="C201" s="30">
        <v>62838.236799763879</v>
      </c>
      <c r="D201" s="31">
        <v>41.580871944999998</v>
      </c>
      <c r="E201" s="22">
        <v>62838.236799999999</v>
      </c>
      <c r="F201" s="23">
        <v>4.5143762379999997</v>
      </c>
      <c r="G201" s="24">
        <f t="shared" si="12"/>
        <v>3.757574822601766E-12</v>
      </c>
      <c r="H201" s="25">
        <f t="shared" si="14"/>
        <v>1</v>
      </c>
      <c r="I201" s="26">
        <v>80119.015199999994</v>
      </c>
      <c r="J201" s="27">
        <v>2.779363E-2</v>
      </c>
      <c r="K201" s="28">
        <f t="shared" si="13"/>
        <v>0.27500418981044755</v>
      </c>
      <c r="L201" s="29">
        <f t="shared" si="15"/>
        <v>0</v>
      </c>
    </row>
    <row r="202" spans="2:12" x14ac:dyDescent="0.25">
      <c r="B202" s="43" t="s">
        <v>683</v>
      </c>
      <c r="C202" s="30">
        <v>56703.469350934778</v>
      </c>
      <c r="D202" s="31">
        <v>61.216946307000001</v>
      </c>
      <c r="E202" s="22">
        <v>56703.469400000002</v>
      </c>
      <c r="F202" s="23">
        <v>4.2885771989999997</v>
      </c>
      <c r="G202" s="24">
        <f t="shared" si="12"/>
        <v>8.6529491549676217E-10</v>
      </c>
      <c r="H202" s="25">
        <f t="shared" si="14"/>
        <v>1</v>
      </c>
      <c r="I202" s="26">
        <v>62146.501499999998</v>
      </c>
      <c r="J202" s="27">
        <v>2.3901530000000001E-2</v>
      </c>
      <c r="K202" s="28">
        <f t="shared" si="13"/>
        <v>9.5991166173247391E-2</v>
      </c>
      <c r="L202" s="29">
        <f t="shared" si="15"/>
        <v>0</v>
      </c>
    </row>
    <row r="203" spans="2:12" x14ac:dyDescent="0.25">
      <c r="B203" s="43" t="s">
        <v>684</v>
      </c>
      <c r="C203" s="30">
        <v>55163.6674549585</v>
      </c>
      <c r="D203" s="31">
        <v>43.164373963999999</v>
      </c>
      <c r="E203" s="22">
        <v>55163.667500000003</v>
      </c>
      <c r="F203" s="23">
        <v>4.4184986339999996</v>
      </c>
      <c r="G203" s="24">
        <f t="shared" si="12"/>
        <v>8.1650667590587184E-10</v>
      </c>
      <c r="H203" s="25">
        <f t="shared" si="14"/>
        <v>1</v>
      </c>
      <c r="I203" s="26">
        <v>88018.318899999998</v>
      </c>
      <c r="J203" s="27">
        <v>1.9473926999999999E-2</v>
      </c>
      <c r="K203" s="28">
        <f t="shared" si="13"/>
        <v>0.59558497396619869</v>
      </c>
      <c r="L203" s="29">
        <f t="shared" si="15"/>
        <v>0</v>
      </c>
    </row>
    <row r="204" spans="2:12" x14ac:dyDescent="0.25">
      <c r="B204" s="43" t="s">
        <v>685</v>
      </c>
      <c r="C204" s="30">
        <v>66767.651766279072</v>
      </c>
      <c r="D204" s="31">
        <v>40.065014267999999</v>
      </c>
      <c r="E204" s="22">
        <v>66767.651800000007</v>
      </c>
      <c r="F204" s="23">
        <v>5.1493406960000003</v>
      </c>
      <c r="G204" s="24">
        <f t="shared" si="12"/>
        <v>5.0504898686577448E-10</v>
      </c>
      <c r="H204" s="25">
        <f t="shared" si="14"/>
        <v>1</v>
      </c>
      <c r="I204" s="26">
        <v>80890.566999999995</v>
      </c>
      <c r="J204" s="27">
        <v>2.3982982E-2</v>
      </c>
      <c r="K204" s="28">
        <f t="shared" si="13"/>
        <v>0.21152331795580215</v>
      </c>
      <c r="L204" s="29">
        <f t="shared" si="15"/>
        <v>0</v>
      </c>
    </row>
    <row r="205" spans="2:12" x14ac:dyDescent="0.25">
      <c r="B205" s="43" t="s">
        <v>686</v>
      </c>
      <c r="C205" s="30">
        <v>67387.768349641643</v>
      </c>
      <c r="D205" s="31">
        <v>42.545474536999997</v>
      </c>
      <c r="E205" s="22">
        <v>67387.768299999996</v>
      </c>
      <c r="F205" s="23">
        <v>4.5513462369999997</v>
      </c>
      <c r="G205" s="24">
        <f t="shared" si="12"/>
        <v>-7.3665663852960627E-10</v>
      </c>
      <c r="H205" s="25">
        <f t="shared" si="14"/>
        <v>1</v>
      </c>
      <c r="I205" s="26">
        <v>77644.015499999994</v>
      </c>
      <c r="J205" s="27">
        <v>2.1333495000000001E-2</v>
      </c>
      <c r="K205" s="28">
        <f t="shared" si="13"/>
        <v>0.15219745959153569</v>
      </c>
      <c r="L205" s="29">
        <f t="shared" si="15"/>
        <v>0</v>
      </c>
    </row>
    <row r="206" spans="2:12" x14ac:dyDescent="0.25">
      <c r="B206" s="43" t="s">
        <v>687</v>
      </c>
      <c r="C206" s="30">
        <v>68125.105479730497</v>
      </c>
      <c r="D206" s="31">
        <v>54.964424542000003</v>
      </c>
      <c r="E206" s="22">
        <v>68125.105500000005</v>
      </c>
      <c r="F206" s="23">
        <v>4.7410219270000002</v>
      </c>
      <c r="G206" s="24">
        <f t="shared" si="12"/>
        <v>2.9753360524007308E-10</v>
      </c>
      <c r="H206" s="25">
        <f t="shared" si="14"/>
        <v>1</v>
      </c>
      <c r="I206" s="26">
        <v>83183.779599999994</v>
      </c>
      <c r="J206" s="27">
        <v>3.5166523999999998E-2</v>
      </c>
      <c r="K206" s="28">
        <f t="shared" si="13"/>
        <v>0.22104441547984036</v>
      </c>
      <c r="L206" s="29">
        <f t="shared" si="15"/>
        <v>0</v>
      </c>
    </row>
    <row r="207" spans="2:12" x14ac:dyDescent="0.25">
      <c r="B207" s="43" t="s">
        <v>688</v>
      </c>
      <c r="C207" s="30">
        <v>76677.396101328908</v>
      </c>
      <c r="D207" s="31">
        <v>61.996325630000001</v>
      </c>
      <c r="E207" s="22">
        <v>76677.396099999998</v>
      </c>
      <c r="F207" s="23">
        <v>4.6527771810000003</v>
      </c>
      <c r="G207" s="24">
        <f t="shared" si="12"/>
        <v>-1.7331183243739364E-11</v>
      </c>
      <c r="H207" s="25">
        <f t="shared" si="14"/>
        <v>1</v>
      </c>
      <c r="I207" s="26">
        <v>99072.541200000007</v>
      </c>
      <c r="J207" s="27">
        <v>2.3093823999999999E-2</v>
      </c>
      <c r="K207" s="28">
        <f t="shared" si="13"/>
        <v>0.29206971333606574</v>
      </c>
      <c r="L207" s="29">
        <f t="shared" si="15"/>
        <v>0</v>
      </c>
    </row>
    <row r="208" spans="2:12" x14ac:dyDescent="0.25">
      <c r="B208" s="43" t="s">
        <v>689</v>
      </c>
      <c r="C208" s="30">
        <v>50417.580172461538</v>
      </c>
      <c r="D208" s="31">
        <v>28.081787773999999</v>
      </c>
      <c r="E208" s="22">
        <v>50417.580199999997</v>
      </c>
      <c r="F208" s="23">
        <v>3.9665649350000001</v>
      </c>
      <c r="G208" s="24">
        <f t="shared" si="12"/>
        <v>5.4620747393162576E-10</v>
      </c>
      <c r="H208" s="25">
        <f t="shared" si="14"/>
        <v>1</v>
      </c>
      <c r="I208" s="26">
        <v>63393.177900000002</v>
      </c>
      <c r="J208" s="27">
        <v>2.0500404E-2</v>
      </c>
      <c r="K208" s="28">
        <f t="shared" si="13"/>
        <v>0.25736256446964179</v>
      </c>
      <c r="L208" s="29">
        <f t="shared" si="15"/>
        <v>0</v>
      </c>
    </row>
    <row r="209" spans="2:12" x14ac:dyDescent="0.25">
      <c r="B209" s="43" t="s">
        <v>690</v>
      </c>
      <c r="C209" s="30">
        <v>122506.28524877105</v>
      </c>
      <c r="D209" s="31">
        <v>40.188565678000003</v>
      </c>
      <c r="E209" s="22">
        <v>122506.2852</v>
      </c>
      <c r="F209" s="23">
        <v>1.276459271</v>
      </c>
      <c r="G209" s="24">
        <f t="shared" si="12"/>
        <v>-3.9811058982853748E-10</v>
      </c>
      <c r="H209" s="25">
        <f t="shared" si="14"/>
        <v>1</v>
      </c>
      <c r="I209" s="26">
        <v>127012.3141</v>
      </c>
      <c r="J209" s="27">
        <v>9.5510149999999995E-3</v>
      </c>
      <c r="K209" s="28">
        <f t="shared" si="13"/>
        <v>3.6782021772014825E-2</v>
      </c>
      <c r="L209" s="29">
        <f t="shared" si="15"/>
        <v>0</v>
      </c>
    </row>
    <row r="210" spans="2:12" x14ac:dyDescent="0.25">
      <c r="B210" s="43" t="s">
        <v>691</v>
      </c>
      <c r="C210" s="30">
        <v>73233.485420016368</v>
      </c>
      <c r="D210" s="31">
        <v>65.469896552999998</v>
      </c>
      <c r="E210" s="22">
        <v>73233.485400000005</v>
      </c>
      <c r="F210" s="23">
        <v>1.1515888009999999</v>
      </c>
      <c r="G210" s="24">
        <f t="shared" si="12"/>
        <v>-2.733225519532746E-10</v>
      </c>
      <c r="H210" s="25">
        <f t="shared" si="14"/>
        <v>1</v>
      </c>
      <c r="I210" s="26">
        <v>83538.666500000007</v>
      </c>
      <c r="J210" s="27">
        <v>8.5649130000000004E-3</v>
      </c>
      <c r="K210" s="28">
        <f t="shared" si="13"/>
        <v>0.14071679124488318</v>
      </c>
      <c r="L210" s="29">
        <f t="shared" si="15"/>
        <v>0</v>
      </c>
    </row>
    <row r="211" spans="2:12" x14ac:dyDescent="0.25">
      <c r="B211" s="43" t="s">
        <v>692</v>
      </c>
      <c r="C211" s="30">
        <v>98650.386972637352</v>
      </c>
      <c r="D211" s="31">
        <v>99.717440175999997</v>
      </c>
      <c r="E211" s="22">
        <v>98650.387000000002</v>
      </c>
      <c r="F211" s="23">
        <v>1.347498869</v>
      </c>
      <c r="G211" s="24">
        <f t="shared" si="12"/>
        <v>2.7736992204099004E-10</v>
      </c>
      <c r="H211" s="25">
        <f t="shared" si="14"/>
        <v>1</v>
      </c>
      <c r="I211" s="26">
        <v>117196.6452</v>
      </c>
      <c r="J211" s="27">
        <v>9.0717890000000002E-3</v>
      </c>
      <c r="K211" s="28">
        <f t="shared" si="13"/>
        <v>0.18799985277814288</v>
      </c>
      <c r="L211" s="29">
        <f t="shared" si="15"/>
        <v>0</v>
      </c>
    </row>
    <row r="212" spans="2:12" x14ac:dyDescent="0.25">
      <c r="B212" s="43" t="s">
        <v>693</v>
      </c>
      <c r="C212" s="30">
        <v>89840.082722013583</v>
      </c>
      <c r="D212" s="31">
        <v>43.845275430000001</v>
      </c>
      <c r="E212" s="22">
        <v>89840.082699999999</v>
      </c>
      <c r="F212" s="23">
        <v>1.4370633589999999</v>
      </c>
      <c r="G212" s="24">
        <f t="shared" si="12"/>
        <v>-2.4503076708878286E-10</v>
      </c>
      <c r="H212" s="25">
        <f t="shared" si="14"/>
        <v>1</v>
      </c>
      <c r="I212" s="26">
        <v>100078.0515</v>
      </c>
      <c r="J212" s="27">
        <v>8.4134180000000006E-3</v>
      </c>
      <c r="K212" s="28">
        <f t="shared" si="13"/>
        <v>0.11395769536037839</v>
      </c>
      <c r="L212" s="29">
        <f t="shared" si="15"/>
        <v>0</v>
      </c>
    </row>
    <row r="213" spans="2:12" x14ac:dyDescent="0.25">
      <c r="B213" s="43" t="s">
        <v>694</v>
      </c>
      <c r="C213" s="30">
        <v>85894.389468841735</v>
      </c>
      <c r="D213" s="31">
        <v>14.548673494999999</v>
      </c>
      <c r="E213" s="22">
        <v>85894.389500000005</v>
      </c>
      <c r="F213" s="23">
        <v>1.3244126359999999</v>
      </c>
      <c r="G213" s="24">
        <f t="shared" si="12"/>
        <v>3.6275093217790697E-10</v>
      </c>
      <c r="H213" s="25">
        <f t="shared" si="14"/>
        <v>1</v>
      </c>
      <c r="I213" s="26">
        <v>89903.256299999994</v>
      </c>
      <c r="J213" s="27">
        <v>8.6589809999999996E-3</v>
      </c>
      <c r="K213" s="28">
        <f t="shared" si="13"/>
        <v>4.6672045240073318E-2</v>
      </c>
      <c r="L213" s="29">
        <f t="shared" si="15"/>
        <v>0</v>
      </c>
    </row>
    <row r="214" spans="2:12" x14ac:dyDescent="0.25">
      <c r="B214" s="43" t="s">
        <v>695</v>
      </c>
      <c r="C214" s="30">
        <v>105245.51706027289</v>
      </c>
      <c r="D214" s="31">
        <v>22.681098734999999</v>
      </c>
      <c r="E214" s="22">
        <v>105245.5171</v>
      </c>
      <c r="F214" s="23">
        <v>1.2788280030000001</v>
      </c>
      <c r="G214" s="24">
        <f t="shared" si="12"/>
        <v>3.7747077531564776E-10</v>
      </c>
      <c r="H214" s="25">
        <f t="shared" si="14"/>
        <v>1</v>
      </c>
      <c r="I214" s="26">
        <v>105245.5171</v>
      </c>
      <c r="J214" s="27">
        <v>8.7886449999999994E-3</v>
      </c>
      <c r="K214" s="28">
        <f t="shared" si="13"/>
        <v>3.7747077531564776E-10</v>
      </c>
      <c r="L214" s="29">
        <f t="shared" si="15"/>
        <v>1</v>
      </c>
    </row>
    <row r="215" spans="2:12" x14ac:dyDescent="0.25">
      <c r="B215" s="43" t="s">
        <v>696</v>
      </c>
      <c r="C215" s="30">
        <v>98937.725937164971</v>
      </c>
      <c r="D215" s="31">
        <v>22.900761269</v>
      </c>
      <c r="E215" s="22">
        <v>98937.725900000005</v>
      </c>
      <c r="F215" s="23">
        <v>1.36129901</v>
      </c>
      <c r="G215" s="24">
        <f t="shared" si="12"/>
        <v>-3.7563998372569698E-10</v>
      </c>
      <c r="H215" s="25">
        <f t="shared" si="14"/>
        <v>1</v>
      </c>
      <c r="I215" s="26">
        <v>99865.428799999994</v>
      </c>
      <c r="J215" s="27">
        <v>1.0475267E-2</v>
      </c>
      <c r="K215" s="28">
        <f t="shared" si="13"/>
        <v>9.3766341812243047E-3</v>
      </c>
      <c r="L215" s="29">
        <f t="shared" si="15"/>
        <v>0</v>
      </c>
    </row>
    <row r="216" spans="2:12" x14ac:dyDescent="0.25">
      <c r="B216" s="43" t="s">
        <v>697</v>
      </c>
      <c r="C216" s="30">
        <v>117964.44335609907</v>
      </c>
      <c r="D216" s="31">
        <v>33.577064446999998</v>
      </c>
      <c r="E216" s="22">
        <v>117964.4434</v>
      </c>
      <c r="F216" s="23">
        <v>1.3184265040000001</v>
      </c>
      <c r="G216" s="24">
        <f t="shared" si="12"/>
        <v>3.7215392753780595E-10</v>
      </c>
      <c r="H216" s="25">
        <f t="shared" si="14"/>
        <v>1</v>
      </c>
      <c r="I216" s="26">
        <v>123091.90150000001</v>
      </c>
      <c r="J216" s="27">
        <v>3.4694425000000001E-2</v>
      </c>
      <c r="K216" s="28">
        <f t="shared" si="13"/>
        <v>4.3466132658488331E-2</v>
      </c>
      <c r="L216" s="29">
        <f t="shared" si="15"/>
        <v>0</v>
      </c>
    </row>
    <row r="217" spans="2:12" x14ac:dyDescent="0.25">
      <c r="B217" s="43" t="s">
        <v>698</v>
      </c>
      <c r="C217" s="30">
        <v>130204.91171204693</v>
      </c>
      <c r="D217" s="31">
        <v>20.464368342</v>
      </c>
      <c r="E217" s="22">
        <v>130204.9117</v>
      </c>
      <c r="F217" s="23">
        <v>1.3584054489999999</v>
      </c>
      <c r="G217" s="24">
        <f t="shared" si="12"/>
        <v>-9.2522884356949623E-11</v>
      </c>
      <c r="H217" s="25">
        <f t="shared" si="14"/>
        <v>1</v>
      </c>
      <c r="I217" s="26">
        <v>137369.48800000001</v>
      </c>
      <c r="J217" s="27">
        <v>9.3120029999999993E-3</v>
      </c>
      <c r="K217" s="28">
        <f t="shared" si="13"/>
        <v>5.502539185155942E-2</v>
      </c>
      <c r="L217" s="29">
        <f t="shared" si="15"/>
        <v>0</v>
      </c>
    </row>
    <row r="218" spans="2:12" x14ac:dyDescent="0.25">
      <c r="B218" s="43" t="s">
        <v>699</v>
      </c>
      <c r="C218" s="30">
        <v>99805.689442492672</v>
      </c>
      <c r="D218" s="31">
        <v>36.849095339000002</v>
      </c>
      <c r="E218" s="22">
        <v>99805.689400000003</v>
      </c>
      <c r="F218" s="23">
        <v>1.6162139950000001</v>
      </c>
      <c r="G218" s="24">
        <f t="shared" si="12"/>
        <v>-4.2575397801386945E-10</v>
      </c>
      <c r="H218" s="25">
        <f t="shared" si="14"/>
        <v>1</v>
      </c>
      <c r="I218" s="26">
        <v>111369.4564</v>
      </c>
      <c r="J218" s="27">
        <v>1.0206219000000001E-2</v>
      </c>
      <c r="K218" s="28">
        <f t="shared" si="13"/>
        <v>0.11586280323398079</v>
      </c>
      <c r="L218" s="29">
        <f t="shared" si="15"/>
        <v>0</v>
      </c>
    </row>
    <row r="219" spans="2:12" x14ac:dyDescent="0.25">
      <c r="B219" s="43" t="s">
        <v>700</v>
      </c>
      <c r="C219" s="30">
        <v>61819.744044103449</v>
      </c>
      <c r="D219" s="31">
        <v>22.157390890999999</v>
      </c>
      <c r="E219" s="22">
        <v>61819.743999999999</v>
      </c>
      <c r="F219" s="23">
        <v>2.4412208419999999</v>
      </c>
      <c r="G219" s="24">
        <f t="shared" si="12"/>
        <v>-7.1342013123755739E-10</v>
      </c>
      <c r="H219" s="25">
        <f t="shared" si="14"/>
        <v>1</v>
      </c>
      <c r="I219" s="26">
        <v>75426.757299999997</v>
      </c>
      <c r="J219" s="27">
        <v>1.1634223000000001E-2</v>
      </c>
      <c r="K219" s="28">
        <f t="shared" si="13"/>
        <v>0.22010788731491726</v>
      </c>
      <c r="L219" s="29">
        <f t="shared" si="15"/>
        <v>0</v>
      </c>
    </row>
    <row r="220" spans="2:12" x14ac:dyDescent="0.25">
      <c r="B220" s="43" t="s">
        <v>701</v>
      </c>
      <c r="C220" s="30">
        <v>75001.757909245309</v>
      </c>
      <c r="D220" s="31">
        <v>46.556872618</v>
      </c>
      <c r="E220" s="22">
        <v>75001.757899999997</v>
      </c>
      <c r="F220" s="23">
        <v>2.3118473279999998</v>
      </c>
      <c r="G220" s="24">
        <f t="shared" si="12"/>
        <v>-1.2326793685250873E-10</v>
      </c>
      <c r="H220" s="25">
        <f t="shared" si="14"/>
        <v>1</v>
      </c>
      <c r="I220" s="26">
        <v>81729.547900000005</v>
      </c>
      <c r="J220" s="27">
        <v>1.1848637E-2</v>
      </c>
      <c r="K220" s="28">
        <f t="shared" si="13"/>
        <v>8.9701764042591531E-2</v>
      </c>
      <c r="L220" s="29">
        <f t="shared" si="15"/>
        <v>0</v>
      </c>
    </row>
    <row r="221" spans="2:12" x14ac:dyDescent="0.25">
      <c r="B221" s="43" t="s">
        <v>702</v>
      </c>
      <c r="C221" s="30">
        <v>83537.654842561504</v>
      </c>
      <c r="D221" s="31">
        <v>46.602095521000003</v>
      </c>
      <c r="E221" s="22">
        <v>83537.654800000004</v>
      </c>
      <c r="F221" s="23">
        <v>2.042801801</v>
      </c>
      <c r="G221" s="24">
        <f t="shared" si="12"/>
        <v>-5.0948880415426357E-10</v>
      </c>
      <c r="H221" s="25">
        <f t="shared" si="14"/>
        <v>1</v>
      </c>
      <c r="I221" s="26">
        <v>93058.444699999993</v>
      </c>
      <c r="J221" s="27">
        <v>1.1851471000000001E-2</v>
      </c>
      <c r="K221" s="28">
        <f t="shared" si="13"/>
        <v>0.11397003992249675</v>
      </c>
      <c r="L221" s="29">
        <f t="shared" si="15"/>
        <v>0</v>
      </c>
    </row>
    <row r="222" spans="2:12" x14ac:dyDescent="0.25">
      <c r="B222" s="43" t="s">
        <v>703</v>
      </c>
      <c r="C222" s="30">
        <v>72652.956814574121</v>
      </c>
      <c r="D222" s="31">
        <v>45.497047178999999</v>
      </c>
      <c r="E222" s="22">
        <v>72652.9568</v>
      </c>
      <c r="F222" s="23">
        <v>2.3018110329999999</v>
      </c>
      <c r="G222" s="24">
        <f t="shared" si="12"/>
        <v>-2.005991509499278E-10</v>
      </c>
      <c r="H222" s="25">
        <f t="shared" si="14"/>
        <v>1</v>
      </c>
      <c r="I222" s="26">
        <v>76399.024300000005</v>
      </c>
      <c r="J222" s="27">
        <v>1.2702507E-2</v>
      </c>
      <c r="K222" s="28">
        <f t="shared" si="13"/>
        <v>5.1561115330607234E-2</v>
      </c>
      <c r="L222" s="29">
        <f t="shared" si="15"/>
        <v>0</v>
      </c>
    </row>
    <row r="223" spans="2:12" x14ac:dyDescent="0.25">
      <c r="B223" s="43" t="s">
        <v>704</v>
      </c>
      <c r="C223" s="30">
        <v>69095.341970402194</v>
      </c>
      <c r="D223" s="31">
        <v>54.380184675999999</v>
      </c>
      <c r="E223" s="22">
        <v>69095.342000000004</v>
      </c>
      <c r="F223" s="23">
        <v>2.104735925</v>
      </c>
      <c r="G223" s="24">
        <f t="shared" si="12"/>
        <v>4.2836186821036963E-10</v>
      </c>
      <c r="H223" s="25">
        <f t="shared" si="14"/>
        <v>1</v>
      </c>
      <c r="I223" s="26">
        <v>84253.184999999998</v>
      </c>
      <c r="J223" s="27">
        <v>1.2795132000000001E-2</v>
      </c>
      <c r="K223" s="28">
        <f t="shared" si="13"/>
        <v>0.21937575815300031</v>
      </c>
      <c r="L223" s="29">
        <f t="shared" si="15"/>
        <v>0</v>
      </c>
    </row>
    <row r="224" spans="2:12" x14ac:dyDescent="0.25">
      <c r="B224" s="43" t="s">
        <v>705</v>
      </c>
      <c r="C224" s="30">
        <v>92214.919058396918</v>
      </c>
      <c r="D224" s="31">
        <v>59.906017730000002</v>
      </c>
      <c r="E224" s="22">
        <v>92214.919099999999</v>
      </c>
      <c r="F224" s="23">
        <v>2.209488871</v>
      </c>
      <c r="G224" s="24">
        <f t="shared" si="12"/>
        <v>4.5115347984496534E-10</v>
      </c>
      <c r="H224" s="25">
        <f t="shared" si="14"/>
        <v>1</v>
      </c>
      <c r="I224" s="26">
        <v>103956.49559999999</v>
      </c>
      <c r="J224" s="27">
        <v>1.3357002E-2</v>
      </c>
      <c r="K224" s="28">
        <f t="shared" si="13"/>
        <v>0.1273283831021691</v>
      </c>
      <c r="L224" s="29">
        <f t="shared" si="15"/>
        <v>0</v>
      </c>
    </row>
    <row r="225" spans="2:12" x14ac:dyDescent="0.25">
      <c r="B225" s="43" t="s">
        <v>706</v>
      </c>
      <c r="C225" s="30">
        <v>75695.715579671349</v>
      </c>
      <c r="D225" s="31">
        <v>48.584049317999998</v>
      </c>
      <c r="E225" s="22">
        <v>75695.715599999996</v>
      </c>
      <c r="F225" s="23">
        <v>2.4146160449999998</v>
      </c>
      <c r="G225" s="24">
        <f t="shared" si="12"/>
        <v>2.685574351012802E-10</v>
      </c>
      <c r="H225" s="25">
        <f t="shared" si="14"/>
        <v>1</v>
      </c>
      <c r="I225" s="26">
        <v>94064.326400000005</v>
      </c>
      <c r="J225" s="27">
        <v>1.3051114000000001E-2</v>
      </c>
      <c r="K225" s="28">
        <f t="shared" si="13"/>
        <v>0.24266381101840967</v>
      </c>
      <c r="L225" s="29">
        <f t="shared" si="15"/>
        <v>0</v>
      </c>
    </row>
    <row r="226" spans="2:12" x14ac:dyDescent="0.25">
      <c r="B226" s="43" t="s">
        <v>707</v>
      </c>
      <c r="C226" s="30">
        <v>69057.63213558578</v>
      </c>
      <c r="D226" s="31">
        <v>42.693300987000001</v>
      </c>
      <c r="E226" s="22">
        <v>69057.632100000003</v>
      </c>
      <c r="F226" s="23">
        <v>2.3377829769999998</v>
      </c>
      <c r="G226" s="24">
        <f t="shared" si="12"/>
        <v>-5.1530549582888134E-10</v>
      </c>
      <c r="H226" s="25">
        <f t="shared" si="14"/>
        <v>1</v>
      </c>
      <c r="I226" s="26">
        <v>75598.686100000006</v>
      </c>
      <c r="J226" s="27">
        <v>1.1326872999999999E-2</v>
      </c>
      <c r="K226" s="28">
        <f t="shared" si="13"/>
        <v>9.471876984678114E-2</v>
      </c>
      <c r="L226" s="29">
        <f t="shared" si="15"/>
        <v>0</v>
      </c>
    </row>
    <row r="227" spans="2:12" x14ac:dyDescent="0.25">
      <c r="B227" s="43" t="s">
        <v>708</v>
      </c>
      <c r="C227" s="30">
        <v>84394.477983571982</v>
      </c>
      <c r="D227" s="31">
        <v>58.506815564</v>
      </c>
      <c r="E227" s="22">
        <v>84394.478000000003</v>
      </c>
      <c r="F227" s="23">
        <v>2.2894398009999999</v>
      </c>
      <c r="G227" s="24">
        <f t="shared" si="12"/>
        <v>1.9465753319052326E-10</v>
      </c>
      <c r="H227" s="25">
        <f t="shared" si="14"/>
        <v>1</v>
      </c>
      <c r="I227" s="26">
        <v>91840.81</v>
      </c>
      <c r="J227" s="27">
        <v>2.4438731000000002E-2</v>
      </c>
      <c r="K227" s="28">
        <f t="shared" si="13"/>
        <v>8.8232455420572661E-2</v>
      </c>
      <c r="L227" s="29">
        <f t="shared" si="15"/>
        <v>0</v>
      </c>
    </row>
    <row r="228" spans="2:12" x14ac:dyDescent="0.25">
      <c r="B228" s="43" t="s">
        <v>709</v>
      </c>
      <c r="C228" s="30">
        <v>83142.226117183018</v>
      </c>
      <c r="D228" s="31">
        <v>44.583147547999999</v>
      </c>
      <c r="E228" s="22">
        <v>83142.2261</v>
      </c>
      <c r="F228" s="23">
        <v>2.437017902</v>
      </c>
      <c r="G228" s="24">
        <f t="shared" si="12"/>
        <v>-2.0667016893147859E-10</v>
      </c>
      <c r="H228" s="25">
        <f t="shared" si="14"/>
        <v>1</v>
      </c>
      <c r="I228" s="26">
        <v>103181.2898</v>
      </c>
      <c r="J228" s="27">
        <v>1.1747726E-2</v>
      </c>
      <c r="K228" s="28">
        <f t="shared" si="13"/>
        <v>0.24102149555838637</v>
      </c>
      <c r="L228" s="29">
        <f t="shared" si="15"/>
        <v>0</v>
      </c>
    </row>
    <row r="229" spans="2:12" x14ac:dyDescent="0.25">
      <c r="B229" s="43" t="s">
        <v>710</v>
      </c>
      <c r="C229" s="30">
        <v>78155.78204967668</v>
      </c>
      <c r="D229" s="31">
        <v>53.407812432</v>
      </c>
      <c r="E229" s="22">
        <v>78155.782000000007</v>
      </c>
      <c r="F229" s="23">
        <v>3.6504136269999998</v>
      </c>
      <c r="G229" s="24">
        <f t="shared" si="12"/>
        <v>-6.3561098190839466E-10</v>
      </c>
      <c r="H229" s="25">
        <f t="shared" si="14"/>
        <v>1</v>
      </c>
      <c r="I229" s="26">
        <v>97105.650500000003</v>
      </c>
      <c r="J229" s="27">
        <v>1.4314177000000001E-2</v>
      </c>
      <c r="K229" s="28">
        <f t="shared" si="13"/>
        <v>0.24246278334568488</v>
      </c>
      <c r="L229" s="29">
        <f t="shared" si="15"/>
        <v>0</v>
      </c>
    </row>
    <row r="230" spans="2:12" x14ac:dyDescent="0.25">
      <c r="B230" s="43" t="s">
        <v>711</v>
      </c>
      <c r="C230" s="30">
        <v>51537.595412173352</v>
      </c>
      <c r="D230" s="31">
        <v>64.807365200000007</v>
      </c>
      <c r="E230" s="22">
        <v>51537.595399999998</v>
      </c>
      <c r="F230" s="23">
        <v>3.7878942809999998</v>
      </c>
      <c r="G230" s="24">
        <f t="shared" si="12"/>
        <v>-2.3620337067009539E-10</v>
      </c>
      <c r="H230" s="25">
        <f t="shared" si="14"/>
        <v>1</v>
      </c>
      <c r="I230" s="26">
        <v>51537.595399999998</v>
      </c>
      <c r="J230" s="27">
        <v>1.5788066999999999E-2</v>
      </c>
      <c r="K230" s="28">
        <f t="shared" si="13"/>
        <v>-2.3620337067009539E-10</v>
      </c>
      <c r="L230" s="29">
        <f t="shared" si="15"/>
        <v>1</v>
      </c>
    </row>
    <row r="231" spans="2:12" x14ac:dyDescent="0.25">
      <c r="B231" s="43" t="s">
        <v>712</v>
      </c>
      <c r="C231" s="30">
        <v>55365.795497146682</v>
      </c>
      <c r="D231" s="31">
        <v>38.595240816</v>
      </c>
      <c r="E231" s="22">
        <v>55365.7955</v>
      </c>
      <c r="F231" s="23">
        <v>3.1313957170000002</v>
      </c>
      <c r="G231" s="24">
        <f t="shared" si="12"/>
        <v>5.153574846138312E-11</v>
      </c>
      <c r="H231" s="25">
        <f t="shared" si="14"/>
        <v>1</v>
      </c>
      <c r="I231" s="26">
        <v>93620.847200000004</v>
      </c>
      <c r="J231" s="27">
        <v>1.6135192E-2</v>
      </c>
      <c r="K231" s="28">
        <f t="shared" si="13"/>
        <v>0.69095099888567169</v>
      </c>
      <c r="L231" s="29">
        <f t="shared" si="15"/>
        <v>0</v>
      </c>
    </row>
    <row r="232" spans="2:12" x14ac:dyDescent="0.25">
      <c r="B232" s="43" t="s">
        <v>713</v>
      </c>
      <c r="C232" s="30">
        <v>92108.874529911991</v>
      </c>
      <c r="D232" s="31">
        <v>70.696392912999997</v>
      </c>
      <c r="E232" s="22">
        <v>92108.874500000005</v>
      </c>
      <c r="F232" s="23">
        <v>6.1103005359999996</v>
      </c>
      <c r="G232" s="24">
        <f t="shared" si="12"/>
        <v>-3.2474596800270844E-10</v>
      </c>
      <c r="H232" s="25">
        <f t="shared" si="14"/>
        <v>1</v>
      </c>
      <c r="I232" s="26">
        <v>117597.9856</v>
      </c>
      <c r="J232" s="27">
        <v>1.711068E-2</v>
      </c>
      <c r="K232" s="28">
        <f t="shared" si="13"/>
        <v>0.27672806990829663</v>
      </c>
      <c r="L232" s="29">
        <f t="shared" si="15"/>
        <v>0</v>
      </c>
    </row>
    <row r="233" spans="2:12" x14ac:dyDescent="0.25">
      <c r="B233" s="43" t="s">
        <v>714</v>
      </c>
      <c r="C233" s="30">
        <v>67270.839755594527</v>
      </c>
      <c r="D233" s="31">
        <v>67.133566891000001</v>
      </c>
      <c r="E233" s="22">
        <v>67270.839800000002</v>
      </c>
      <c r="F233" s="23">
        <v>4.9059867009999998</v>
      </c>
      <c r="G233" s="24">
        <f t="shared" si="12"/>
        <v>6.6009990466765798E-10</v>
      </c>
      <c r="H233" s="25">
        <f t="shared" si="14"/>
        <v>1</v>
      </c>
      <c r="I233" s="26">
        <v>90941.292000000001</v>
      </c>
      <c r="J233" s="27">
        <v>2.0434279999999999E-2</v>
      </c>
      <c r="K233" s="28">
        <f t="shared" si="13"/>
        <v>0.35186794650407111</v>
      </c>
      <c r="L233" s="29">
        <f t="shared" si="15"/>
        <v>0</v>
      </c>
    </row>
    <row r="234" spans="2:12" x14ac:dyDescent="0.25">
      <c r="B234" s="43" t="s">
        <v>715</v>
      </c>
      <c r="C234" s="30">
        <v>71832.931976845008</v>
      </c>
      <c r="D234" s="31">
        <v>45.212760166000002</v>
      </c>
      <c r="E234" s="22">
        <v>71832.932000000001</v>
      </c>
      <c r="F234" s="23">
        <v>3.2519952390000002</v>
      </c>
      <c r="G234" s="24">
        <f t="shared" si="12"/>
        <v>3.2234509050703936E-10</v>
      </c>
      <c r="H234" s="25">
        <f t="shared" si="14"/>
        <v>1</v>
      </c>
      <c r="I234" s="26">
        <v>97214.220700000005</v>
      </c>
      <c r="J234" s="27">
        <v>1.6318596000000001E-2</v>
      </c>
      <c r="K234" s="28">
        <f t="shared" si="13"/>
        <v>0.35333778010532174</v>
      </c>
      <c r="L234" s="29">
        <f t="shared" si="15"/>
        <v>0</v>
      </c>
    </row>
    <row r="235" spans="2:12" x14ac:dyDescent="0.25">
      <c r="B235" s="43" t="s">
        <v>716</v>
      </c>
      <c r="C235" s="30">
        <v>76396.17099648455</v>
      </c>
      <c r="D235" s="31">
        <v>40.942081063000003</v>
      </c>
      <c r="E235" s="22">
        <v>76396.171000000002</v>
      </c>
      <c r="F235" s="23">
        <v>3.516571404</v>
      </c>
      <c r="G235" s="24">
        <f t="shared" si="12"/>
        <v>4.6016071682841686E-11</v>
      </c>
      <c r="H235" s="25">
        <f t="shared" si="14"/>
        <v>1</v>
      </c>
      <c r="I235" s="26">
        <v>92793.850699999995</v>
      </c>
      <c r="J235" s="27">
        <v>1.4717988E-2</v>
      </c>
      <c r="K235" s="28">
        <f t="shared" si="13"/>
        <v>0.21464007278938105</v>
      </c>
      <c r="L235" s="29">
        <f t="shared" si="15"/>
        <v>0</v>
      </c>
    </row>
    <row r="236" spans="2:12" x14ac:dyDescent="0.25">
      <c r="B236" s="43" t="s">
        <v>717</v>
      </c>
      <c r="C236" s="30">
        <v>56131.862005117408</v>
      </c>
      <c r="D236" s="31">
        <v>31.070782293000001</v>
      </c>
      <c r="E236" s="22">
        <v>56131.862000000001</v>
      </c>
      <c r="F236" s="23">
        <v>3.788108684</v>
      </c>
      <c r="G236" s="24">
        <f t="shared" si="12"/>
        <v>-9.1167589350139522E-11</v>
      </c>
      <c r="H236" s="25">
        <f t="shared" si="14"/>
        <v>1</v>
      </c>
      <c r="I236" s="26">
        <v>75003.348499999993</v>
      </c>
      <c r="J236" s="27">
        <v>1.5585795E-2</v>
      </c>
      <c r="K236" s="28">
        <f t="shared" si="13"/>
        <v>0.33619918920847697</v>
      </c>
      <c r="L236" s="29">
        <f t="shared" si="15"/>
        <v>0</v>
      </c>
    </row>
    <row r="237" spans="2:12" x14ac:dyDescent="0.25">
      <c r="B237" s="43" t="s">
        <v>718</v>
      </c>
      <c r="C237" s="30">
        <v>68815.440125790759</v>
      </c>
      <c r="D237" s="31">
        <v>46.950157324999999</v>
      </c>
      <c r="E237" s="22">
        <v>68815.440100000007</v>
      </c>
      <c r="F237" s="23">
        <v>3.2333876730000002</v>
      </c>
      <c r="G237" s="24">
        <f t="shared" si="12"/>
        <v>-3.7478147656691131E-10</v>
      </c>
      <c r="H237" s="25">
        <f t="shared" si="14"/>
        <v>1</v>
      </c>
      <c r="I237" s="26">
        <v>73605.565799999997</v>
      </c>
      <c r="J237" s="27">
        <v>1.5337678E-2</v>
      </c>
      <c r="K237" s="28">
        <f t="shared" si="13"/>
        <v>6.960829815886023E-2</v>
      </c>
      <c r="L237" s="29">
        <f t="shared" si="15"/>
        <v>0</v>
      </c>
    </row>
    <row r="238" spans="2:12" x14ac:dyDescent="0.25">
      <c r="B238" s="43" t="s">
        <v>719</v>
      </c>
      <c r="C238" s="30">
        <v>60926.96943633668</v>
      </c>
      <c r="D238" s="31">
        <v>49.398303183000003</v>
      </c>
      <c r="E238" s="22">
        <v>60926.969400000002</v>
      </c>
      <c r="F238" s="23">
        <v>5.5010415760000004</v>
      </c>
      <c r="G238" s="24">
        <f t="shared" si="12"/>
        <v>-5.963972664030454E-10</v>
      </c>
      <c r="H238" s="25">
        <f t="shared" si="14"/>
        <v>1</v>
      </c>
      <c r="I238" s="26">
        <v>64329.0075</v>
      </c>
      <c r="J238" s="27">
        <v>1.7085923999999999E-2</v>
      </c>
      <c r="K238" s="28">
        <f t="shared" si="13"/>
        <v>5.5837966259230244E-2</v>
      </c>
      <c r="L238" s="29">
        <f t="shared" si="15"/>
        <v>0</v>
      </c>
    </row>
    <row r="239" spans="2:12" x14ac:dyDescent="0.25">
      <c r="B239" s="43" t="s">
        <v>720</v>
      </c>
      <c r="C239" s="30">
        <v>63074.298719635161</v>
      </c>
      <c r="D239" s="31">
        <v>45.729716328999999</v>
      </c>
      <c r="E239" s="22">
        <v>63074.298699999999</v>
      </c>
      <c r="F239" s="23">
        <v>4.7260587029999996</v>
      </c>
      <c r="G239" s="24">
        <f t="shared" si="12"/>
        <v>-3.1130209214671836E-10</v>
      </c>
      <c r="H239" s="25">
        <f t="shared" si="14"/>
        <v>1</v>
      </c>
      <c r="I239" s="26">
        <v>89997.384000000005</v>
      </c>
      <c r="J239" s="27">
        <v>1.8414791E-2</v>
      </c>
      <c r="K239" s="28">
        <f t="shared" si="13"/>
        <v>0.42684716004592904</v>
      </c>
      <c r="L239" s="29">
        <f t="shared" si="15"/>
        <v>0</v>
      </c>
    </row>
    <row r="240" spans="2:12" x14ac:dyDescent="0.25">
      <c r="B240" s="43" t="s">
        <v>721</v>
      </c>
      <c r="C240" s="30">
        <v>71464.626237809513</v>
      </c>
      <c r="D240" s="31">
        <v>61.134858686000001</v>
      </c>
      <c r="E240" s="22">
        <v>71464.626199999999</v>
      </c>
      <c r="F240" s="23">
        <v>4.2938132419999997</v>
      </c>
      <c r="G240" s="24">
        <f t="shared" si="12"/>
        <v>-5.2906613708839971E-10</v>
      </c>
      <c r="H240" s="25">
        <f t="shared" si="14"/>
        <v>1</v>
      </c>
      <c r="I240" s="26">
        <v>86946.570800000001</v>
      </c>
      <c r="J240" s="27">
        <v>3.6692771999999999E-2</v>
      </c>
      <c r="K240" s="28">
        <f t="shared" si="13"/>
        <v>0.216637872150509</v>
      </c>
      <c r="L240" s="29">
        <f t="shared" si="15"/>
        <v>0</v>
      </c>
    </row>
    <row r="241" spans="2:12" x14ac:dyDescent="0.25">
      <c r="B241" s="43" t="s">
        <v>722</v>
      </c>
      <c r="C241" s="30">
        <v>61346.506696947632</v>
      </c>
      <c r="D241" s="31">
        <v>49.572133962000002</v>
      </c>
      <c r="E241" s="22">
        <v>61346.506699999998</v>
      </c>
      <c r="F241" s="23">
        <v>4.7762649120000003</v>
      </c>
      <c r="G241" s="24">
        <f t="shared" si="12"/>
        <v>4.9756151521964653E-11</v>
      </c>
      <c r="H241" s="25">
        <f t="shared" si="14"/>
        <v>1</v>
      </c>
      <c r="I241" s="26">
        <v>76642.439700000003</v>
      </c>
      <c r="J241" s="27">
        <v>1.9932102E-2</v>
      </c>
      <c r="K241" s="28">
        <f t="shared" si="13"/>
        <v>0.24933665870518815</v>
      </c>
      <c r="L241" s="29">
        <f t="shared" si="15"/>
        <v>0</v>
      </c>
    </row>
    <row r="242" spans="2:12" x14ac:dyDescent="0.25">
      <c r="B242" s="43" t="s">
        <v>723</v>
      </c>
      <c r="C242" s="30">
        <v>62421.793040650431</v>
      </c>
      <c r="D242" s="31">
        <v>43.475783716999999</v>
      </c>
      <c r="E242" s="22">
        <v>62421.792999999998</v>
      </c>
      <c r="F242" s="23">
        <v>4.2476084439999999</v>
      </c>
      <c r="G242" s="24">
        <f t="shared" si="12"/>
        <v>-6.5122181277238366E-10</v>
      </c>
      <c r="H242" s="25">
        <f t="shared" si="14"/>
        <v>1</v>
      </c>
      <c r="I242" s="26">
        <v>75686.441099999996</v>
      </c>
      <c r="J242" s="27">
        <v>1.7497200000000001E-2</v>
      </c>
      <c r="K242" s="28">
        <f t="shared" si="13"/>
        <v>0.21250027295293067</v>
      </c>
      <c r="L242" s="29">
        <f t="shared" si="15"/>
        <v>0</v>
      </c>
    </row>
    <row r="243" spans="2:12" x14ac:dyDescent="0.25">
      <c r="B243" s="43" t="s">
        <v>724</v>
      </c>
      <c r="C243" s="30">
        <v>59865.987990913156</v>
      </c>
      <c r="D243" s="31">
        <v>51.711174151999998</v>
      </c>
      <c r="E243" s="22">
        <v>59865.987999999998</v>
      </c>
      <c r="F243" s="23">
        <v>5.7522913420000004</v>
      </c>
      <c r="G243" s="24">
        <f t="shared" si="12"/>
        <v>1.5178637997799922E-10</v>
      </c>
      <c r="H243" s="25">
        <f t="shared" si="14"/>
        <v>1</v>
      </c>
      <c r="I243" s="26">
        <v>66343.606700000004</v>
      </c>
      <c r="J243" s="27">
        <v>1.8331653999999999E-2</v>
      </c>
      <c r="K243" s="28">
        <f t="shared" si="13"/>
        <v>0.1082019845737794</v>
      </c>
      <c r="L243" s="29">
        <f t="shared" si="15"/>
        <v>0</v>
      </c>
    </row>
    <row r="244" spans="2:12" x14ac:dyDescent="0.25">
      <c r="B244" s="43" t="s">
        <v>725</v>
      </c>
      <c r="C244" s="30">
        <v>65966.644924061664</v>
      </c>
      <c r="D244" s="31">
        <v>46.275159240999997</v>
      </c>
      <c r="E244" s="22">
        <v>65966.644899999999</v>
      </c>
      <c r="F244" s="23">
        <v>5.0011180829999997</v>
      </c>
      <c r="G244" s="24">
        <f t="shared" si="12"/>
        <v>-3.647550154684935E-10</v>
      </c>
      <c r="H244" s="25">
        <f t="shared" si="14"/>
        <v>1</v>
      </c>
      <c r="I244" s="26">
        <v>87114.967300000004</v>
      </c>
      <c r="J244" s="27">
        <v>1.8822009000000001E-2</v>
      </c>
      <c r="K244" s="28">
        <f t="shared" si="13"/>
        <v>0.32059114724242077</v>
      </c>
      <c r="L244" s="29">
        <f t="shared" si="15"/>
        <v>0</v>
      </c>
    </row>
    <row r="245" spans="2:12" x14ac:dyDescent="0.25">
      <c r="B245" s="43" t="s">
        <v>726</v>
      </c>
      <c r="C245" s="30">
        <v>62439.865374934539</v>
      </c>
      <c r="D245" s="31">
        <v>43.623477151000003</v>
      </c>
      <c r="E245" s="22">
        <v>62439.865400000002</v>
      </c>
      <c r="F245" s="23">
        <v>4.8269007689999999</v>
      </c>
      <c r="G245" s="24">
        <f t="shared" si="12"/>
        <v>4.0143364864065212E-10</v>
      </c>
      <c r="H245" s="25">
        <f t="shared" si="14"/>
        <v>1</v>
      </c>
      <c r="I245" s="26">
        <v>71524.532900000006</v>
      </c>
      <c r="J245" s="27">
        <v>2.1917275E-2</v>
      </c>
      <c r="K245" s="28">
        <f t="shared" si="13"/>
        <v>0.14549466867864769</v>
      </c>
      <c r="L245" s="29">
        <f t="shared" si="15"/>
        <v>0</v>
      </c>
    </row>
    <row r="246" spans="2:12" x14ac:dyDescent="0.25">
      <c r="B246" s="43" t="s">
        <v>727</v>
      </c>
      <c r="C246" s="30">
        <v>56526.583189064491</v>
      </c>
      <c r="D246" s="31">
        <v>57.531317751000003</v>
      </c>
      <c r="E246" s="22">
        <v>56526.583200000001</v>
      </c>
      <c r="F246" s="23">
        <v>4.1475542000000001</v>
      </c>
      <c r="G246" s="24">
        <f t="shared" si="12"/>
        <v>1.9345782141165667E-10</v>
      </c>
      <c r="H246" s="25">
        <f t="shared" si="14"/>
        <v>1</v>
      </c>
      <c r="I246" s="26">
        <v>68360.754799999995</v>
      </c>
      <c r="J246" s="27">
        <v>1.8318037999999998E-2</v>
      </c>
      <c r="K246" s="28">
        <f t="shared" si="13"/>
        <v>0.20935586308752724</v>
      </c>
      <c r="L246" s="29">
        <f t="shared" si="15"/>
        <v>0</v>
      </c>
    </row>
    <row r="247" spans="2:12" x14ac:dyDescent="0.25">
      <c r="B247" s="43" t="s">
        <v>728</v>
      </c>
      <c r="C247" s="30">
        <v>66453.084301595256</v>
      </c>
      <c r="D247" s="31">
        <v>56.453842682000001</v>
      </c>
      <c r="E247" s="22">
        <v>66453.084300000002</v>
      </c>
      <c r="F247" s="23">
        <v>4.4392449190000001</v>
      </c>
      <c r="G247" s="24">
        <f t="shared" si="12"/>
        <v>-2.4005713559805695E-11</v>
      </c>
      <c r="H247" s="25">
        <f t="shared" si="14"/>
        <v>1</v>
      </c>
      <c r="I247" s="26">
        <v>73405.091700000004</v>
      </c>
      <c r="J247" s="27">
        <v>2.9151941000000001E-2</v>
      </c>
      <c r="K247" s="28">
        <f t="shared" si="13"/>
        <v>0.10461527062992711</v>
      </c>
      <c r="L247" s="29">
        <f t="shared" si="15"/>
        <v>0</v>
      </c>
    </row>
    <row r="248" spans="2:12" ht="15.75" thickBot="1" x14ac:dyDescent="0.3">
      <c r="B248" s="44" t="s">
        <v>729</v>
      </c>
      <c r="C248" s="45">
        <v>52005.363694838983</v>
      </c>
      <c r="D248" s="46">
        <v>40.293839503999997</v>
      </c>
      <c r="E248" s="22">
        <v>52005.363700000002</v>
      </c>
      <c r="F248" s="23">
        <v>5.7549037719999996</v>
      </c>
      <c r="G248" s="24">
        <f t="shared" si="12"/>
        <v>9.9240121941361183E-11</v>
      </c>
      <c r="H248" s="25">
        <f t="shared" si="14"/>
        <v>1</v>
      </c>
      <c r="I248" s="26">
        <v>68499.083299999998</v>
      </c>
      <c r="J248" s="27">
        <v>2.9895662999999999E-2</v>
      </c>
      <c r="K248" s="28">
        <f t="shared" si="13"/>
        <v>0.3171542016693531</v>
      </c>
      <c r="L248" s="29">
        <f t="shared" si="15"/>
        <v>0</v>
      </c>
    </row>
    <row r="249" spans="2:12" ht="15.75" thickBot="1" x14ac:dyDescent="0.3">
      <c r="C249" s="48">
        <f>AVERAGE(C129:C248)</f>
        <v>93992.928778774047</v>
      </c>
      <c r="D249" s="47">
        <f>AVERAGE(D129:D248)</f>
        <v>32.427916270833329</v>
      </c>
      <c r="E249" s="35">
        <f>AVERAGE(E129:E248)</f>
        <v>93992.928777499968</v>
      </c>
      <c r="F249" s="35">
        <f>AVERAGE(F129:F248)</f>
        <v>3.301008699391665</v>
      </c>
      <c r="G249" s="36">
        <f>AVERAGE(G129:G248)</f>
        <v>-9.2979498947316515E-12</v>
      </c>
      <c r="H249" s="37">
        <f>SUM(H129:H248)</f>
        <v>120</v>
      </c>
      <c r="I249" s="38">
        <f>AVERAGE(I129:I248)</f>
        <v>109218.74466666667</v>
      </c>
      <c r="J249" s="38">
        <f>AVERAGE(J129:J248)</f>
        <v>1.9417787641666663E-2</v>
      </c>
      <c r="K249" s="39">
        <f>AVERAGE(K129:K248)</f>
        <v>0.17575251599180355</v>
      </c>
      <c r="L249" s="40">
        <f>SUM(L129:L248)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AA15-0D9F-427E-9E98-80AB89D7C8FC}">
  <dimension ref="B1:L251"/>
  <sheetViews>
    <sheetView topLeftCell="A175" workbookViewId="0">
      <selection activeCell="F246" sqref="F246"/>
    </sheetView>
  </sheetViews>
  <sheetFormatPr baseColWidth="10" defaultRowHeight="15" x14ac:dyDescent="0.25"/>
  <cols>
    <col min="2" max="2" width="29.7109375" bestFit="1" customWidth="1"/>
  </cols>
  <sheetData>
    <row r="1" spans="2:12" ht="15.75" thickBot="1" x14ac:dyDescent="0.3"/>
    <row r="2" spans="2:12" x14ac:dyDescent="0.25">
      <c r="B2" s="1" t="s">
        <v>730</v>
      </c>
      <c r="C2" s="2" t="s">
        <v>125</v>
      </c>
      <c r="D2" s="3"/>
      <c r="E2" s="4" t="s">
        <v>126</v>
      </c>
      <c r="F2" s="5"/>
      <c r="G2" s="5"/>
      <c r="H2" s="6"/>
      <c r="I2" s="7" t="s">
        <v>247</v>
      </c>
      <c r="J2" s="8"/>
      <c r="K2" s="8"/>
      <c r="L2" s="9"/>
    </row>
    <row r="3" spans="2:12" ht="15.75" thickBot="1" x14ac:dyDescent="0.3">
      <c r="B3" s="10"/>
      <c r="C3" s="41" t="s">
        <v>1</v>
      </c>
      <c r="D3" s="42" t="s">
        <v>2</v>
      </c>
      <c r="E3" s="13" t="s">
        <v>1</v>
      </c>
      <c r="F3" s="14" t="s">
        <v>2</v>
      </c>
      <c r="G3" s="14" t="s">
        <v>3</v>
      </c>
      <c r="H3" s="15" t="s">
        <v>4</v>
      </c>
      <c r="I3" s="16" t="s">
        <v>1</v>
      </c>
      <c r="J3" s="17" t="s">
        <v>2</v>
      </c>
      <c r="K3" s="17" t="s">
        <v>3</v>
      </c>
      <c r="L3" s="18" t="s">
        <v>4</v>
      </c>
    </row>
    <row r="4" spans="2:12" x14ac:dyDescent="0.25">
      <c r="B4" s="43" t="s">
        <v>731</v>
      </c>
      <c r="C4" s="30">
        <v>92898.601826508951</v>
      </c>
      <c r="D4" s="31">
        <v>2.3388438100000002</v>
      </c>
      <c r="E4" s="22">
        <v>92898.601800000004</v>
      </c>
      <c r="F4" s="23">
        <v>3.9422409479999998</v>
      </c>
      <c r="G4" s="24">
        <f t="shared" ref="G4:G67" si="0">(E4-C4)/C4</f>
        <v>-2.8535356791088033E-10</v>
      </c>
      <c r="H4" s="25">
        <f>IF(G4&lt;0.000001,1,0)</f>
        <v>1</v>
      </c>
      <c r="I4" s="26">
        <v>92898.601800000004</v>
      </c>
      <c r="J4" s="27">
        <v>2.2117583E-2</v>
      </c>
      <c r="K4" s="28">
        <f t="shared" ref="K4:K67" si="1">(I4-C4)/C4</f>
        <v>-2.8535356791088033E-10</v>
      </c>
      <c r="L4" s="29">
        <f>IF(K4&lt;0.000001,1,0)</f>
        <v>1</v>
      </c>
    </row>
    <row r="5" spans="2:12" x14ac:dyDescent="0.25">
      <c r="B5" s="43" t="s">
        <v>732</v>
      </c>
      <c r="C5" s="30">
        <v>116905.87789088616</v>
      </c>
      <c r="D5" s="31">
        <v>2.6314802589999999</v>
      </c>
      <c r="E5" s="22">
        <v>116905.87790000001</v>
      </c>
      <c r="F5" s="23">
        <v>4.0175797270000002</v>
      </c>
      <c r="G5" s="24">
        <f t="shared" si="0"/>
        <v>7.7958868450714884E-11</v>
      </c>
      <c r="H5" s="25">
        <f t="shared" ref="H5:H68" si="2">IF(G5&lt;0.000001,1,0)</f>
        <v>1</v>
      </c>
      <c r="I5" s="26">
        <v>123309.99860000001</v>
      </c>
      <c r="J5" s="27">
        <v>3.8257293999999997E-2</v>
      </c>
      <c r="K5" s="28">
        <f t="shared" si="1"/>
        <v>5.4780143006078114E-2</v>
      </c>
      <c r="L5" s="29">
        <f t="shared" ref="L5:L68" si="3">IF(K5&lt;0.000001,1,0)</f>
        <v>0</v>
      </c>
    </row>
    <row r="6" spans="2:12" x14ac:dyDescent="0.25">
      <c r="B6" s="43" t="s">
        <v>733</v>
      </c>
      <c r="C6" s="30">
        <v>116604.01261005117</v>
      </c>
      <c r="D6" s="31">
        <v>16.216234922999998</v>
      </c>
      <c r="E6" s="22">
        <v>116604.0126</v>
      </c>
      <c r="F6" s="23">
        <v>3.9623847209999998</v>
      </c>
      <c r="G6" s="24">
        <f t="shared" si="0"/>
        <v>-8.61991598257751E-11</v>
      </c>
      <c r="H6" s="25">
        <f t="shared" si="2"/>
        <v>1</v>
      </c>
      <c r="I6" s="26">
        <v>132996.83619999999</v>
      </c>
      <c r="J6" s="27">
        <v>6.6537740999999997E-2</v>
      </c>
      <c r="K6" s="28">
        <f t="shared" si="1"/>
        <v>0.14058541574182304</v>
      </c>
      <c r="L6" s="29">
        <f t="shared" si="3"/>
        <v>0</v>
      </c>
    </row>
    <row r="7" spans="2:12" x14ac:dyDescent="0.25">
      <c r="B7" s="43" t="s">
        <v>734</v>
      </c>
      <c r="C7" s="30">
        <v>106703.40124367688</v>
      </c>
      <c r="D7" s="31">
        <v>2.532623772</v>
      </c>
      <c r="E7" s="22">
        <v>106703.40119999999</v>
      </c>
      <c r="F7" s="23">
        <v>3.8129274870000001</v>
      </c>
      <c r="G7" s="24">
        <f t="shared" si="0"/>
        <v>-4.0932987242068457E-10</v>
      </c>
      <c r="H7" s="25">
        <f t="shared" si="2"/>
        <v>1</v>
      </c>
      <c r="I7" s="26">
        <v>121407.8982</v>
      </c>
      <c r="J7" s="27">
        <v>2.1324497000000001E-2</v>
      </c>
      <c r="K7" s="28">
        <f t="shared" si="1"/>
        <v>0.13780720000426869</v>
      </c>
      <c r="L7" s="29">
        <f t="shared" si="3"/>
        <v>0</v>
      </c>
    </row>
    <row r="8" spans="2:12" x14ac:dyDescent="0.25">
      <c r="B8" s="43" t="s">
        <v>735</v>
      </c>
      <c r="C8" s="30">
        <v>89076.101113242359</v>
      </c>
      <c r="D8" s="31">
        <v>2.5806513350000002</v>
      </c>
      <c r="E8" s="22">
        <v>89076.1011</v>
      </c>
      <c r="F8" s="23">
        <v>3.7104830789999999</v>
      </c>
      <c r="G8" s="24">
        <f t="shared" si="0"/>
        <v>-1.4866343618139127E-10</v>
      </c>
      <c r="H8" s="25">
        <f t="shared" si="2"/>
        <v>1</v>
      </c>
      <c r="I8" s="26">
        <v>100514.5601</v>
      </c>
      <c r="J8" s="27">
        <v>2.1083162999999999E-2</v>
      </c>
      <c r="K8" s="28">
        <f t="shared" si="1"/>
        <v>0.12841220982736931</v>
      </c>
      <c r="L8" s="29">
        <f t="shared" si="3"/>
        <v>0</v>
      </c>
    </row>
    <row r="9" spans="2:12" x14ac:dyDescent="0.25">
      <c r="B9" s="43" t="s">
        <v>736</v>
      </c>
      <c r="C9" s="30">
        <v>86766.40646793315</v>
      </c>
      <c r="D9" s="31">
        <v>2.6555815049999998</v>
      </c>
      <c r="E9" s="22">
        <v>86766.406499999997</v>
      </c>
      <c r="F9" s="23">
        <v>3.2733921279999998</v>
      </c>
      <c r="G9" s="24">
        <f t="shared" si="0"/>
        <v>3.6957676461614486E-10</v>
      </c>
      <c r="H9" s="25">
        <f t="shared" si="2"/>
        <v>1</v>
      </c>
      <c r="I9" s="26">
        <v>87083.479600000006</v>
      </c>
      <c r="J9" s="27">
        <v>2.0578081000000002E-2</v>
      </c>
      <c r="K9" s="28">
        <f t="shared" si="1"/>
        <v>3.6543305753251329E-3</v>
      </c>
      <c r="L9" s="29">
        <f t="shared" si="3"/>
        <v>0</v>
      </c>
    </row>
    <row r="10" spans="2:12" x14ac:dyDescent="0.25">
      <c r="B10" s="43" t="s">
        <v>737</v>
      </c>
      <c r="C10" s="30">
        <v>100760.98789964766</v>
      </c>
      <c r="D10" s="31">
        <v>2.2870414879999998</v>
      </c>
      <c r="E10" s="22">
        <v>100760.98789999999</v>
      </c>
      <c r="F10" s="23">
        <v>3.511915916</v>
      </c>
      <c r="G10" s="24">
        <f t="shared" si="0"/>
        <v>3.4967002493079988E-12</v>
      </c>
      <c r="H10" s="25">
        <f t="shared" si="2"/>
        <v>1</v>
      </c>
      <c r="I10" s="26">
        <v>108241.0125</v>
      </c>
      <c r="J10" s="27">
        <v>2.2840928E-2</v>
      </c>
      <c r="K10" s="28">
        <f t="shared" si="1"/>
        <v>7.4235324169330527E-2</v>
      </c>
      <c r="L10" s="29">
        <f t="shared" si="3"/>
        <v>0</v>
      </c>
    </row>
    <row r="11" spans="2:12" x14ac:dyDescent="0.25">
      <c r="B11" s="43" t="s">
        <v>738</v>
      </c>
      <c r="C11" s="30">
        <v>133138.96390488456</v>
      </c>
      <c r="D11" s="31">
        <v>2.6499356390000002</v>
      </c>
      <c r="E11" s="22">
        <v>133138.9639</v>
      </c>
      <c r="F11" s="23">
        <v>3.732607233</v>
      </c>
      <c r="G11" s="24">
        <f t="shared" si="0"/>
        <v>-3.6687637712909434E-11</v>
      </c>
      <c r="H11" s="25">
        <f t="shared" si="2"/>
        <v>1</v>
      </c>
      <c r="I11" s="26">
        <v>154992.6741</v>
      </c>
      <c r="J11" s="27">
        <v>2.1538602E-2</v>
      </c>
      <c r="K11" s="28">
        <f t="shared" si="1"/>
        <v>0.16414210802126938</v>
      </c>
      <c r="L11" s="29">
        <f t="shared" si="3"/>
        <v>0</v>
      </c>
    </row>
    <row r="12" spans="2:12" x14ac:dyDescent="0.25">
      <c r="B12" s="43" t="s">
        <v>739</v>
      </c>
      <c r="C12" s="30">
        <v>104886.68026017518</v>
      </c>
      <c r="D12" s="31">
        <v>2.6185027000000001</v>
      </c>
      <c r="E12" s="22">
        <v>104886.68030000001</v>
      </c>
      <c r="F12" s="23">
        <v>3.4116781939999998</v>
      </c>
      <c r="G12" s="24">
        <f t="shared" si="0"/>
        <v>3.7969380797646582E-10</v>
      </c>
      <c r="H12" s="25">
        <f t="shared" si="2"/>
        <v>1</v>
      </c>
      <c r="I12" s="26">
        <v>115359.98510000001</v>
      </c>
      <c r="J12" s="27">
        <v>2.1220922999999999E-2</v>
      </c>
      <c r="K12" s="28">
        <f t="shared" si="1"/>
        <v>9.9853525860914005E-2</v>
      </c>
      <c r="L12" s="29">
        <f t="shared" si="3"/>
        <v>0</v>
      </c>
    </row>
    <row r="13" spans="2:12" x14ac:dyDescent="0.25">
      <c r="B13" s="43" t="s">
        <v>740</v>
      </c>
      <c r="C13" s="30">
        <v>97516.03599780082</v>
      </c>
      <c r="D13" s="31">
        <v>2.8175319449999998</v>
      </c>
      <c r="E13" s="22">
        <v>97516.035999999993</v>
      </c>
      <c r="F13" s="23">
        <v>3.3091641049999998</v>
      </c>
      <c r="G13" s="24">
        <f t="shared" si="0"/>
        <v>2.2551908701987892E-11</v>
      </c>
      <c r="H13" s="25">
        <f t="shared" si="2"/>
        <v>1</v>
      </c>
      <c r="I13" s="26">
        <v>100039.0612</v>
      </c>
      <c r="J13" s="27">
        <v>2.3071753E-2</v>
      </c>
      <c r="K13" s="28">
        <f t="shared" si="1"/>
        <v>2.5872926194990899E-2</v>
      </c>
      <c r="L13" s="29">
        <f t="shared" si="3"/>
        <v>0</v>
      </c>
    </row>
    <row r="14" spans="2:12" x14ac:dyDescent="0.25">
      <c r="B14" s="43" t="s">
        <v>741</v>
      </c>
      <c r="C14" s="30">
        <v>94691.650529093313</v>
      </c>
      <c r="D14" s="31">
        <v>11.078550256</v>
      </c>
      <c r="E14" s="22">
        <v>94691.650500000003</v>
      </c>
      <c r="F14" s="23">
        <v>5.2689233340000001</v>
      </c>
      <c r="G14" s="24">
        <f t="shared" si="0"/>
        <v>-3.072426054405387E-10</v>
      </c>
      <c r="H14" s="25">
        <f t="shared" si="2"/>
        <v>1</v>
      </c>
      <c r="I14" s="26">
        <v>105453.6177</v>
      </c>
      <c r="J14" s="27">
        <v>3.3307559E-2</v>
      </c>
      <c r="K14" s="28">
        <f t="shared" si="1"/>
        <v>0.11365275724706218</v>
      </c>
      <c r="L14" s="29">
        <f t="shared" si="3"/>
        <v>0</v>
      </c>
    </row>
    <row r="15" spans="2:12" x14ac:dyDescent="0.25">
      <c r="B15" s="43" t="s">
        <v>742</v>
      </c>
      <c r="C15" s="30">
        <v>90239.564943213321</v>
      </c>
      <c r="D15" s="31">
        <v>9.2576877409999998</v>
      </c>
      <c r="E15" s="22">
        <v>90239.564899999998</v>
      </c>
      <c r="F15" s="23">
        <v>5.2638714689999997</v>
      </c>
      <c r="G15" s="24">
        <f t="shared" si="0"/>
        <v>-4.7887336151948591E-10</v>
      </c>
      <c r="H15" s="25">
        <f t="shared" si="2"/>
        <v>1</v>
      </c>
      <c r="I15" s="26">
        <v>104353.28969999999</v>
      </c>
      <c r="J15" s="27">
        <v>3.12137E-2</v>
      </c>
      <c r="K15" s="28">
        <f t="shared" si="1"/>
        <v>0.15640284575472269</v>
      </c>
      <c r="L15" s="29">
        <f t="shared" si="3"/>
        <v>0</v>
      </c>
    </row>
    <row r="16" spans="2:12" x14ac:dyDescent="0.25">
      <c r="B16" s="43" t="s">
        <v>743</v>
      </c>
      <c r="C16" s="30">
        <v>89677.632758731444</v>
      </c>
      <c r="D16" s="31">
        <v>9.474320466</v>
      </c>
      <c r="E16" s="22">
        <v>89677.632800000007</v>
      </c>
      <c r="F16" s="23">
        <v>4.8299811549999996</v>
      </c>
      <c r="G16" s="24">
        <f t="shared" si="0"/>
        <v>4.6018790784293737E-10</v>
      </c>
      <c r="H16" s="25">
        <f t="shared" si="2"/>
        <v>1</v>
      </c>
      <c r="I16" s="26">
        <v>93214.093699999998</v>
      </c>
      <c r="J16" s="27">
        <v>3.2216842000000002E-2</v>
      </c>
      <c r="K16" s="28">
        <f t="shared" si="1"/>
        <v>3.9435261976451162E-2</v>
      </c>
      <c r="L16" s="29">
        <f t="shared" si="3"/>
        <v>0</v>
      </c>
    </row>
    <row r="17" spans="2:12" x14ac:dyDescent="0.25">
      <c r="B17" s="43" t="s">
        <v>744</v>
      </c>
      <c r="C17" s="30">
        <v>105904.97620205533</v>
      </c>
      <c r="D17" s="31">
        <v>17.416748875</v>
      </c>
      <c r="E17" s="22">
        <v>105904.9762</v>
      </c>
      <c r="F17" s="23">
        <v>5.2741400799999996</v>
      </c>
      <c r="G17" s="24">
        <f t="shared" si="0"/>
        <v>-1.9407275583051158E-11</v>
      </c>
      <c r="H17" s="25">
        <f t="shared" si="2"/>
        <v>1</v>
      </c>
      <c r="I17" s="26">
        <v>123920.4443</v>
      </c>
      <c r="J17" s="27">
        <v>3.0486808000000001E-2</v>
      </c>
      <c r="K17" s="28">
        <f t="shared" si="1"/>
        <v>0.17010974124174383</v>
      </c>
      <c r="L17" s="29">
        <f t="shared" si="3"/>
        <v>0</v>
      </c>
    </row>
    <row r="18" spans="2:12" x14ac:dyDescent="0.25">
      <c r="B18" s="43" t="s">
        <v>745</v>
      </c>
      <c r="C18" s="30">
        <v>84928.569566453414</v>
      </c>
      <c r="D18" s="31">
        <v>2.5986494590000002</v>
      </c>
      <c r="E18" s="22">
        <v>84928.569600000003</v>
      </c>
      <c r="F18" s="23">
        <v>4.7569141650000004</v>
      </c>
      <c r="G18" s="24">
        <f t="shared" si="0"/>
        <v>3.9499768517078427E-10</v>
      </c>
      <c r="H18" s="25">
        <f t="shared" si="2"/>
        <v>1</v>
      </c>
      <c r="I18" s="26">
        <v>101941.00569999999</v>
      </c>
      <c r="J18" s="27">
        <v>2.7762911000000001E-2</v>
      </c>
      <c r="K18" s="28">
        <f t="shared" si="1"/>
        <v>0.20031464347500857</v>
      </c>
      <c r="L18" s="29">
        <f t="shared" si="3"/>
        <v>0</v>
      </c>
    </row>
    <row r="19" spans="2:12" x14ac:dyDescent="0.25">
      <c r="B19" s="43" t="s">
        <v>746</v>
      </c>
      <c r="C19" s="30">
        <v>109163.74267562898</v>
      </c>
      <c r="D19" s="31">
        <v>33.040614335000001</v>
      </c>
      <c r="E19" s="22">
        <v>109163.7427</v>
      </c>
      <c r="F19" s="23">
        <v>5.4143864820000003</v>
      </c>
      <c r="G19" s="24">
        <f t="shared" si="0"/>
        <v>2.2325199886135326E-10</v>
      </c>
      <c r="H19" s="25">
        <f t="shared" si="2"/>
        <v>1</v>
      </c>
      <c r="I19" s="26">
        <v>123640.96309999999</v>
      </c>
      <c r="J19" s="27">
        <v>2.9791096999999999E-2</v>
      </c>
      <c r="K19" s="28">
        <f t="shared" si="1"/>
        <v>0.13261931177450445</v>
      </c>
      <c r="L19" s="29">
        <f t="shared" si="3"/>
        <v>0</v>
      </c>
    </row>
    <row r="20" spans="2:12" x14ac:dyDescent="0.25">
      <c r="B20" s="43" t="s">
        <v>747</v>
      </c>
      <c r="C20" s="30">
        <v>88396.292372540644</v>
      </c>
      <c r="D20" s="31">
        <v>15.481725132999999</v>
      </c>
      <c r="E20" s="22">
        <v>88396.292400000006</v>
      </c>
      <c r="F20" s="23">
        <v>4.9837892369999999</v>
      </c>
      <c r="G20" s="24">
        <f t="shared" si="0"/>
        <v>3.1063929759401998E-10</v>
      </c>
      <c r="H20" s="25">
        <f t="shared" si="2"/>
        <v>1</v>
      </c>
      <c r="I20" s="26">
        <v>95465.592000000004</v>
      </c>
      <c r="J20" s="27">
        <v>2.9036592999999999E-2</v>
      </c>
      <c r="K20" s="28">
        <f t="shared" si="1"/>
        <v>7.9972806977765987E-2</v>
      </c>
      <c r="L20" s="29">
        <f t="shared" si="3"/>
        <v>0</v>
      </c>
    </row>
    <row r="21" spans="2:12" x14ac:dyDescent="0.25">
      <c r="B21" s="43" t="s">
        <v>748</v>
      </c>
      <c r="C21" s="30">
        <v>97247.362788920262</v>
      </c>
      <c r="D21" s="31">
        <v>16.408292761999999</v>
      </c>
      <c r="E21" s="22">
        <v>97247.362800000003</v>
      </c>
      <c r="F21" s="23">
        <v>5.0765437220000003</v>
      </c>
      <c r="G21" s="24">
        <f t="shared" si="0"/>
        <v>1.1393358776665464E-10</v>
      </c>
      <c r="H21" s="25">
        <f t="shared" si="2"/>
        <v>1</v>
      </c>
      <c r="I21" s="26">
        <v>118016.7225</v>
      </c>
      <c r="J21" s="27">
        <v>3.1288630999999997E-2</v>
      </c>
      <c r="K21" s="28">
        <f t="shared" si="1"/>
        <v>0.21357247246036443</v>
      </c>
      <c r="L21" s="29">
        <f t="shared" si="3"/>
        <v>0</v>
      </c>
    </row>
    <row r="22" spans="2:12" x14ac:dyDescent="0.25">
      <c r="B22" s="43" t="s">
        <v>749</v>
      </c>
      <c r="C22" s="30">
        <v>99347.795339270277</v>
      </c>
      <c r="D22" s="31">
        <v>21.590319481000002</v>
      </c>
      <c r="E22" s="22">
        <v>99347.795299999998</v>
      </c>
      <c r="F22" s="23">
        <v>4.714764561</v>
      </c>
      <c r="G22" s="24">
        <f t="shared" si="0"/>
        <v>-3.9528082645786236E-10</v>
      </c>
      <c r="H22" s="25">
        <f t="shared" si="2"/>
        <v>1</v>
      </c>
      <c r="I22" s="26">
        <v>118265.38069999999</v>
      </c>
      <c r="J22" s="27">
        <v>3.0193484999999999E-2</v>
      </c>
      <c r="K22" s="28">
        <f t="shared" si="1"/>
        <v>0.19041776715956937</v>
      </c>
      <c r="L22" s="29">
        <f t="shared" si="3"/>
        <v>0</v>
      </c>
    </row>
    <row r="23" spans="2:12" x14ac:dyDescent="0.25">
      <c r="B23" s="43" t="s">
        <v>750</v>
      </c>
      <c r="C23" s="30">
        <v>96813.240967867052</v>
      </c>
      <c r="D23" s="31">
        <v>23.157891213999999</v>
      </c>
      <c r="E23" s="22">
        <v>96813.240999999995</v>
      </c>
      <c r="F23" s="23">
        <v>5.2635159920000003</v>
      </c>
      <c r="G23" s="24">
        <f t="shared" si="0"/>
        <v>3.3190648569879458E-10</v>
      </c>
      <c r="H23" s="25">
        <f t="shared" si="2"/>
        <v>1</v>
      </c>
      <c r="I23" s="26">
        <v>113845.1823</v>
      </c>
      <c r="J23" s="27">
        <v>3.0878457000000002E-2</v>
      </c>
      <c r="K23" s="28">
        <f t="shared" si="1"/>
        <v>0.17592574282050905</v>
      </c>
      <c r="L23" s="29">
        <f t="shared" si="3"/>
        <v>0</v>
      </c>
    </row>
    <row r="24" spans="2:12" x14ac:dyDescent="0.25">
      <c r="B24" s="43" t="s">
        <v>751</v>
      </c>
      <c r="C24" s="30">
        <v>61112.604638361991</v>
      </c>
      <c r="D24" s="31">
        <v>4.893747963</v>
      </c>
      <c r="E24" s="22">
        <v>61112.604599999999</v>
      </c>
      <c r="F24" s="23">
        <v>7.2946938020000003</v>
      </c>
      <c r="G24" s="24">
        <f t="shared" si="0"/>
        <v>-6.277263419334531E-10</v>
      </c>
      <c r="H24" s="25">
        <f t="shared" si="2"/>
        <v>1</v>
      </c>
      <c r="I24" s="26">
        <v>70923.895399999994</v>
      </c>
      <c r="J24" s="27">
        <v>4.0183968E-2</v>
      </c>
      <c r="K24" s="28">
        <f t="shared" si="1"/>
        <v>0.16054447064884547</v>
      </c>
      <c r="L24" s="29">
        <f t="shared" si="3"/>
        <v>0</v>
      </c>
    </row>
    <row r="25" spans="2:12" x14ac:dyDescent="0.25">
      <c r="B25" s="43" t="s">
        <v>752</v>
      </c>
      <c r="C25" s="30">
        <v>72043.570940465885</v>
      </c>
      <c r="D25" s="31">
        <v>2.6681656299999998</v>
      </c>
      <c r="E25" s="22">
        <v>72043.570900000006</v>
      </c>
      <c r="F25" s="23">
        <v>7.7593196989999997</v>
      </c>
      <c r="G25" s="24">
        <f t="shared" si="0"/>
        <v>-5.6168618555832914E-10</v>
      </c>
      <c r="H25" s="25">
        <f t="shared" si="2"/>
        <v>1</v>
      </c>
      <c r="I25" s="26">
        <v>86371.304499999998</v>
      </c>
      <c r="J25" s="27">
        <v>4.1113821000000002E-2</v>
      </c>
      <c r="K25" s="28">
        <f t="shared" si="1"/>
        <v>0.1988759492692834</v>
      </c>
      <c r="L25" s="29">
        <f t="shared" si="3"/>
        <v>0</v>
      </c>
    </row>
    <row r="26" spans="2:12" x14ac:dyDescent="0.25">
      <c r="B26" s="43" t="s">
        <v>753</v>
      </c>
      <c r="C26" s="30">
        <v>58793.525825155768</v>
      </c>
      <c r="D26" s="31">
        <v>2.5250315099999998</v>
      </c>
      <c r="E26" s="22">
        <v>58793.525800000003</v>
      </c>
      <c r="F26" s="23">
        <v>7.2251011829999996</v>
      </c>
      <c r="G26" s="24">
        <f t="shared" si="0"/>
        <v>-4.2786624096759679E-10</v>
      </c>
      <c r="H26" s="25">
        <f t="shared" si="2"/>
        <v>1</v>
      </c>
      <c r="I26" s="26">
        <v>67941.366299999994</v>
      </c>
      <c r="J26" s="27">
        <v>3.8755853E-2</v>
      </c>
      <c r="K26" s="28">
        <f t="shared" si="1"/>
        <v>0.15559264981060505</v>
      </c>
      <c r="L26" s="29">
        <f t="shared" si="3"/>
        <v>0</v>
      </c>
    </row>
    <row r="27" spans="2:12" x14ac:dyDescent="0.25">
      <c r="B27" s="43" t="s">
        <v>754</v>
      </c>
      <c r="C27" s="30">
        <v>103899.64033499145</v>
      </c>
      <c r="D27" s="31">
        <v>14.958740149</v>
      </c>
      <c r="E27" s="22">
        <v>103899.6403</v>
      </c>
      <c r="F27" s="23">
        <v>7.9590436269999998</v>
      </c>
      <c r="G27" s="24">
        <f t="shared" si="0"/>
        <v>-3.3678122401406521E-10</v>
      </c>
      <c r="H27" s="25">
        <f t="shared" si="2"/>
        <v>1</v>
      </c>
      <c r="I27" s="26">
        <v>132463.28539999999</v>
      </c>
      <c r="J27" s="27">
        <v>3.6400351999999997E-2</v>
      </c>
      <c r="K27" s="28">
        <f t="shared" si="1"/>
        <v>0.27491572610756043</v>
      </c>
      <c r="L27" s="29">
        <f t="shared" si="3"/>
        <v>0</v>
      </c>
    </row>
    <row r="28" spans="2:12" x14ac:dyDescent="0.25">
      <c r="B28" s="43" t="s">
        <v>755</v>
      </c>
      <c r="C28" s="30">
        <v>94250.495914944127</v>
      </c>
      <c r="D28" s="31">
        <v>16.796496060999999</v>
      </c>
      <c r="E28" s="22">
        <v>94250.495899999994</v>
      </c>
      <c r="F28" s="23">
        <v>7.1248773090000004</v>
      </c>
      <c r="G28" s="24">
        <f t="shared" si="0"/>
        <v>-1.5855760603109482E-10</v>
      </c>
      <c r="H28" s="25">
        <f t="shared" si="2"/>
        <v>1</v>
      </c>
      <c r="I28" s="26">
        <v>116860.2412</v>
      </c>
      <c r="J28" s="27">
        <v>3.7052601999999997E-2</v>
      </c>
      <c r="K28" s="28">
        <f t="shared" si="1"/>
        <v>0.23988993443026468</v>
      </c>
      <c r="L28" s="29">
        <f t="shared" si="3"/>
        <v>0</v>
      </c>
    </row>
    <row r="29" spans="2:12" x14ac:dyDescent="0.25">
      <c r="B29" s="43" t="s">
        <v>756</v>
      </c>
      <c r="C29" s="30">
        <v>80019.109044044002</v>
      </c>
      <c r="D29" s="31">
        <v>8.9413092039999995</v>
      </c>
      <c r="E29" s="22">
        <v>80019.108999999997</v>
      </c>
      <c r="F29" s="23">
        <v>7.5140758999999999</v>
      </c>
      <c r="G29" s="24">
        <f t="shared" si="0"/>
        <v>-5.5041859202738657E-10</v>
      </c>
      <c r="H29" s="25">
        <f t="shared" si="2"/>
        <v>1</v>
      </c>
      <c r="I29" s="26">
        <v>97052.746700000003</v>
      </c>
      <c r="J29" s="27">
        <v>3.7529672E-2</v>
      </c>
      <c r="K29" s="28">
        <f t="shared" si="1"/>
        <v>0.21286962401168916</v>
      </c>
      <c r="L29" s="29">
        <f t="shared" si="3"/>
        <v>0</v>
      </c>
    </row>
    <row r="30" spans="2:12" x14ac:dyDescent="0.25">
      <c r="B30" s="43" t="s">
        <v>757</v>
      </c>
      <c r="C30" s="30">
        <v>82696.469281599566</v>
      </c>
      <c r="D30" s="31">
        <v>6.3175647619999999</v>
      </c>
      <c r="E30" s="22">
        <v>82696.469299999997</v>
      </c>
      <c r="F30" s="23">
        <v>6.851841201</v>
      </c>
      <c r="G30" s="24">
        <f t="shared" si="0"/>
        <v>2.2250564389061258E-10</v>
      </c>
      <c r="H30" s="25">
        <f t="shared" si="2"/>
        <v>1</v>
      </c>
      <c r="I30" s="26">
        <v>110744.3174</v>
      </c>
      <c r="J30" s="27">
        <v>3.6642488000000001E-2</v>
      </c>
      <c r="K30" s="28">
        <f t="shared" si="1"/>
        <v>0.33916621062613178</v>
      </c>
      <c r="L30" s="29">
        <f t="shared" si="3"/>
        <v>0</v>
      </c>
    </row>
    <row r="31" spans="2:12" x14ac:dyDescent="0.25">
      <c r="B31" s="43" t="s">
        <v>758</v>
      </c>
      <c r="C31" s="30">
        <v>83297.66557785889</v>
      </c>
      <c r="D31" s="31">
        <v>12.263569339</v>
      </c>
      <c r="E31" s="22">
        <v>83297.665599999993</v>
      </c>
      <c r="F31" s="23">
        <v>6.7358916180000001</v>
      </c>
      <c r="G31" s="24">
        <f t="shared" si="0"/>
        <v>2.658070026841921E-10</v>
      </c>
      <c r="H31" s="25">
        <f t="shared" si="2"/>
        <v>1</v>
      </c>
      <c r="I31" s="26">
        <v>96641.789300000004</v>
      </c>
      <c r="J31" s="27">
        <v>3.6347211999999997E-2</v>
      </c>
      <c r="K31" s="28">
        <f t="shared" si="1"/>
        <v>0.16019805152484462</v>
      </c>
      <c r="L31" s="29">
        <f t="shared" si="3"/>
        <v>0</v>
      </c>
    </row>
    <row r="32" spans="2:12" x14ac:dyDescent="0.25">
      <c r="B32" s="43" t="s">
        <v>759</v>
      </c>
      <c r="C32" s="30">
        <v>71067.852678990719</v>
      </c>
      <c r="D32" s="31">
        <v>2.6035281299999999</v>
      </c>
      <c r="E32" s="22">
        <v>71067.852700000003</v>
      </c>
      <c r="F32" s="23">
        <v>6.876379805</v>
      </c>
      <c r="G32" s="24">
        <f t="shared" si="0"/>
        <v>2.9562288943928907E-10</v>
      </c>
      <c r="H32" s="25">
        <f t="shared" si="2"/>
        <v>1</v>
      </c>
      <c r="I32" s="26">
        <v>92085.780799999993</v>
      </c>
      <c r="J32" s="27">
        <v>3.5458927000000001E-2</v>
      </c>
      <c r="K32" s="28">
        <f t="shared" si="1"/>
        <v>0.29574452201258999</v>
      </c>
      <c r="L32" s="29">
        <f t="shared" si="3"/>
        <v>0</v>
      </c>
    </row>
    <row r="33" spans="2:12" x14ac:dyDescent="0.25">
      <c r="B33" s="43" t="s">
        <v>760</v>
      </c>
      <c r="C33" s="30">
        <v>84760.585060047088</v>
      </c>
      <c r="D33" s="31">
        <v>2.82601646</v>
      </c>
      <c r="E33" s="22">
        <v>84760.585099999997</v>
      </c>
      <c r="F33" s="23">
        <v>8.0301981009999999</v>
      </c>
      <c r="G33" s="24">
        <f t="shared" si="0"/>
        <v>4.7136188316222805E-10</v>
      </c>
      <c r="H33" s="25">
        <f t="shared" si="2"/>
        <v>1</v>
      </c>
      <c r="I33" s="26">
        <v>95891.843500000003</v>
      </c>
      <c r="J33" s="27">
        <v>3.7823967E-2</v>
      </c>
      <c r="K33" s="28">
        <f t="shared" si="1"/>
        <v>0.13132588020796671</v>
      </c>
      <c r="L33" s="29">
        <f t="shared" si="3"/>
        <v>0</v>
      </c>
    </row>
    <row r="34" spans="2:12" x14ac:dyDescent="0.25">
      <c r="B34" s="43" t="s">
        <v>761</v>
      </c>
      <c r="C34" s="30">
        <v>67304.021305801303</v>
      </c>
      <c r="D34" s="31">
        <v>2.768278016</v>
      </c>
      <c r="E34" s="22">
        <v>67304.021299999993</v>
      </c>
      <c r="F34" s="23">
        <v>9.1994180060000001</v>
      </c>
      <c r="G34" s="24">
        <f t="shared" si="0"/>
        <v>-8.6195595272497741E-11</v>
      </c>
      <c r="H34" s="25">
        <f t="shared" si="2"/>
        <v>1</v>
      </c>
      <c r="I34" s="26">
        <v>86916.020099999994</v>
      </c>
      <c r="J34" s="27">
        <v>9.6114071999999995E-2</v>
      </c>
      <c r="K34" s="28">
        <f t="shared" si="1"/>
        <v>0.29139416061174084</v>
      </c>
      <c r="L34" s="29">
        <f t="shared" si="3"/>
        <v>0</v>
      </c>
    </row>
    <row r="35" spans="2:12" x14ac:dyDescent="0.25">
      <c r="B35" s="43" t="s">
        <v>762</v>
      </c>
      <c r="C35" s="30">
        <v>61232.990892736074</v>
      </c>
      <c r="D35" s="31">
        <v>2.6597954100000001</v>
      </c>
      <c r="E35" s="22">
        <v>61232.990899999997</v>
      </c>
      <c r="F35" s="23">
        <v>11.239620458999999</v>
      </c>
      <c r="G35" s="24">
        <f t="shared" si="0"/>
        <v>1.1862760702011158E-10</v>
      </c>
      <c r="H35" s="25">
        <f t="shared" si="2"/>
        <v>1</v>
      </c>
      <c r="I35" s="26">
        <v>73611.928199999995</v>
      </c>
      <c r="J35" s="27">
        <v>4.4035602E-2</v>
      </c>
      <c r="K35" s="28">
        <f t="shared" si="1"/>
        <v>0.20216123901163882</v>
      </c>
      <c r="L35" s="29">
        <f t="shared" si="3"/>
        <v>0</v>
      </c>
    </row>
    <row r="36" spans="2:12" x14ac:dyDescent="0.25">
      <c r="B36" s="43" t="s">
        <v>763</v>
      </c>
      <c r="C36" s="30">
        <v>73930.995759251353</v>
      </c>
      <c r="D36" s="31">
        <v>18.291192026000001</v>
      </c>
      <c r="E36" s="22">
        <v>73930.995800000004</v>
      </c>
      <c r="F36" s="23">
        <v>8.9877349090000003</v>
      </c>
      <c r="G36" s="24">
        <f t="shared" si="0"/>
        <v>5.5117141266381113E-10</v>
      </c>
      <c r="H36" s="25">
        <f t="shared" si="2"/>
        <v>1</v>
      </c>
      <c r="I36" s="26">
        <v>87232.125400000004</v>
      </c>
      <c r="J36" s="27">
        <v>4.1530437000000003E-2</v>
      </c>
      <c r="K36" s="28">
        <f t="shared" si="1"/>
        <v>0.17991276194983774</v>
      </c>
      <c r="L36" s="29">
        <f t="shared" si="3"/>
        <v>0</v>
      </c>
    </row>
    <row r="37" spans="2:12" x14ac:dyDescent="0.25">
      <c r="B37" s="43" t="s">
        <v>764</v>
      </c>
      <c r="C37" s="30">
        <v>48819.506666754773</v>
      </c>
      <c r="D37" s="31">
        <v>8.0521927000000009</v>
      </c>
      <c r="E37" s="22">
        <v>48819.506699999998</v>
      </c>
      <c r="F37" s="23">
        <v>10.145177578</v>
      </c>
      <c r="G37" s="24">
        <f t="shared" si="0"/>
        <v>6.8098241389711891E-10</v>
      </c>
      <c r="H37" s="25">
        <f t="shared" si="2"/>
        <v>1</v>
      </c>
      <c r="I37" s="26">
        <v>62643.008900000001</v>
      </c>
      <c r="J37" s="27">
        <v>5.2308555E-2</v>
      </c>
      <c r="K37" s="28">
        <f t="shared" si="1"/>
        <v>0.28315530362904695</v>
      </c>
      <c r="L37" s="29">
        <f t="shared" si="3"/>
        <v>0</v>
      </c>
    </row>
    <row r="38" spans="2:12" x14ac:dyDescent="0.25">
      <c r="B38" s="43" t="s">
        <v>765</v>
      </c>
      <c r="C38" s="30">
        <v>97000.625729114254</v>
      </c>
      <c r="D38" s="31">
        <v>17.209615438</v>
      </c>
      <c r="E38" s="22">
        <v>97000.625700000004</v>
      </c>
      <c r="F38" s="23">
        <v>9.9914293080000007</v>
      </c>
      <c r="G38" s="24">
        <f t="shared" si="0"/>
        <v>-3.00144967201987E-10</v>
      </c>
      <c r="H38" s="25">
        <f t="shared" si="2"/>
        <v>1</v>
      </c>
      <c r="I38" s="26">
        <v>112711.9402</v>
      </c>
      <c r="J38" s="27">
        <v>4.7295048999999999E-2</v>
      </c>
      <c r="K38" s="28">
        <f t="shared" si="1"/>
        <v>0.1619712692860503</v>
      </c>
      <c r="L38" s="29">
        <f t="shared" si="3"/>
        <v>0</v>
      </c>
    </row>
    <row r="39" spans="2:12" x14ac:dyDescent="0.25">
      <c r="B39" s="43" t="s">
        <v>766</v>
      </c>
      <c r="C39" s="30">
        <v>88142.451796595895</v>
      </c>
      <c r="D39" s="31">
        <v>34.802786357000002</v>
      </c>
      <c r="E39" s="22">
        <v>88142.451799999995</v>
      </c>
      <c r="F39" s="23">
        <v>11.628450337</v>
      </c>
      <c r="G39" s="24">
        <f t="shared" si="0"/>
        <v>3.8620441752595644E-11</v>
      </c>
      <c r="H39" s="25">
        <f t="shared" si="2"/>
        <v>1</v>
      </c>
      <c r="I39" s="26">
        <v>108671.8288</v>
      </c>
      <c r="J39" s="27">
        <v>4.2403714000000002E-2</v>
      </c>
      <c r="K39" s="28">
        <f t="shared" si="1"/>
        <v>0.23291134504380739</v>
      </c>
      <c r="L39" s="29">
        <f t="shared" si="3"/>
        <v>0</v>
      </c>
    </row>
    <row r="40" spans="2:12" x14ac:dyDescent="0.25">
      <c r="B40" s="43" t="s">
        <v>767</v>
      </c>
      <c r="C40" s="30">
        <v>64729.13032969999</v>
      </c>
      <c r="D40" s="31">
        <v>2.6687320290000001</v>
      </c>
      <c r="E40" s="22">
        <v>64729.130299999997</v>
      </c>
      <c r="F40" s="23">
        <v>9.5162260599999993</v>
      </c>
      <c r="G40" s="24">
        <f t="shared" si="0"/>
        <v>-4.5883504333414535E-10</v>
      </c>
      <c r="H40" s="25">
        <f t="shared" si="2"/>
        <v>1</v>
      </c>
      <c r="I40" s="26">
        <v>67152.709799999997</v>
      </c>
      <c r="J40" s="27">
        <v>8.9173232000000005E-2</v>
      </c>
      <c r="K40" s="28">
        <f t="shared" si="1"/>
        <v>3.7441866713725694E-2</v>
      </c>
      <c r="L40" s="29">
        <f t="shared" si="3"/>
        <v>0</v>
      </c>
    </row>
    <row r="41" spans="2:12" x14ac:dyDescent="0.25">
      <c r="B41" s="43" t="s">
        <v>768</v>
      </c>
      <c r="C41" s="30">
        <v>71258.107670483849</v>
      </c>
      <c r="D41" s="31">
        <v>2.7588783609999998</v>
      </c>
      <c r="E41" s="22">
        <v>71258.107699999993</v>
      </c>
      <c r="F41" s="23">
        <v>9.3314408919999998</v>
      </c>
      <c r="G41" s="24">
        <f t="shared" si="0"/>
        <v>4.1421454186384841E-10</v>
      </c>
      <c r="H41" s="25">
        <f t="shared" si="2"/>
        <v>1</v>
      </c>
      <c r="I41" s="26">
        <v>101830.5123</v>
      </c>
      <c r="J41" s="27">
        <v>4.5086313000000003E-2</v>
      </c>
      <c r="K41" s="28">
        <f t="shared" si="1"/>
        <v>0.42903755978043873</v>
      </c>
      <c r="L41" s="29">
        <f t="shared" si="3"/>
        <v>0</v>
      </c>
    </row>
    <row r="42" spans="2:12" x14ac:dyDescent="0.25">
      <c r="B42" s="43" t="s">
        <v>769</v>
      </c>
      <c r="C42" s="30">
        <v>67406.282195411346</v>
      </c>
      <c r="D42" s="31">
        <v>20.261528945999999</v>
      </c>
      <c r="E42" s="22">
        <v>67406.282200000001</v>
      </c>
      <c r="F42" s="23">
        <v>11.544514317999999</v>
      </c>
      <c r="G42" s="24">
        <f t="shared" si="0"/>
        <v>6.8074596009588116E-11</v>
      </c>
      <c r="H42" s="25">
        <f t="shared" si="2"/>
        <v>1</v>
      </c>
      <c r="I42" s="26">
        <v>80550.657800000001</v>
      </c>
      <c r="J42" s="27">
        <v>4.3732169000000001E-2</v>
      </c>
      <c r="K42" s="28">
        <f t="shared" si="1"/>
        <v>0.1950022338642414</v>
      </c>
      <c r="L42" s="29">
        <f t="shared" si="3"/>
        <v>0</v>
      </c>
    </row>
    <row r="43" spans="2:12" x14ac:dyDescent="0.25">
      <c r="B43" s="43" t="s">
        <v>770</v>
      </c>
      <c r="C43" s="30">
        <v>77964.379634245648</v>
      </c>
      <c r="D43" s="31">
        <v>2.5971419760000001</v>
      </c>
      <c r="E43" s="22">
        <v>77964.3796</v>
      </c>
      <c r="F43" s="23">
        <v>9.5704896549999994</v>
      </c>
      <c r="G43" s="24">
        <f t="shared" si="0"/>
        <v>-4.3924735885704684E-10</v>
      </c>
      <c r="H43" s="25">
        <f t="shared" si="2"/>
        <v>1</v>
      </c>
      <c r="I43" s="26">
        <v>105916.4792</v>
      </c>
      <c r="J43" s="27">
        <v>4.4002509000000002E-2</v>
      </c>
      <c r="K43" s="28">
        <f t="shared" si="1"/>
        <v>0.35852397847435019</v>
      </c>
      <c r="L43" s="29">
        <f t="shared" si="3"/>
        <v>0</v>
      </c>
    </row>
    <row r="44" spans="2:12" x14ac:dyDescent="0.25">
      <c r="B44" s="43" t="s">
        <v>771</v>
      </c>
      <c r="C44" s="30">
        <v>60430.053978379794</v>
      </c>
      <c r="D44" s="31">
        <v>6.745341861</v>
      </c>
      <c r="E44" s="22">
        <v>60430.053999999996</v>
      </c>
      <c r="F44" s="23">
        <v>2.5828133530000001</v>
      </c>
      <c r="G44" s="24">
        <f t="shared" si="0"/>
        <v>3.577723506264179E-10</v>
      </c>
      <c r="H44" s="25">
        <f t="shared" si="2"/>
        <v>1</v>
      </c>
      <c r="I44" s="26">
        <v>66329.062099999996</v>
      </c>
      <c r="J44" s="27">
        <v>2.2921159999999999E-2</v>
      </c>
      <c r="K44" s="28">
        <f t="shared" si="1"/>
        <v>9.7617124812278078E-2</v>
      </c>
      <c r="L44" s="29">
        <f t="shared" si="3"/>
        <v>0</v>
      </c>
    </row>
    <row r="45" spans="2:12" x14ac:dyDescent="0.25">
      <c r="B45" s="43" t="s">
        <v>772</v>
      </c>
      <c r="C45" s="30">
        <v>74330.524120838483</v>
      </c>
      <c r="D45" s="31">
        <v>16.537039250999999</v>
      </c>
      <c r="E45" s="22">
        <v>74330.524099999995</v>
      </c>
      <c r="F45" s="23">
        <v>2.7634691600000001</v>
      </c>
      <c r="G45" s="24">
        <f t="shared" si="0"/>
        <v>-2.8034900026127447E-10</v>
      </c>
      <c r="H45" s="25">
        <f t="shared" si="2"/>
        <v>1</v>
      </c>
      <c r="I45" s="26">
        <v>79840.376399999994</v>
      </c>
      <c r="J45" s="27">
        <v>2.0011052000000001E-2</v>
      </c>
      <c r="K45" s="28">
        <f t="shared" si="1"/>
        <v>7.4126374653354948E-2</v>
      </c>
      <c r="L45" s="29">
        <f t="shared" si="3"/>
        <v>0</v>
      </c>
    </row>
    <row r="46" spans="2:12" x14ac:dyDescent="0.25">
      <c r="B46" s="43" t="s">
        <v>773</v>
      </c>
      <c r="C46" s="30">
        <v>55505.39500186911</v>
      </c>
      <c r="D46" s="31">
        <v>6.0408664659999998</v>
      </c>
      <c r="E46" s="22">
        <v>55505.394999999997</v>
      </c>
      <c r="F46" s="23">
        <v>3.2027513490000001</v>
      </c>
      <c r="G46" s="24">
        <f t="shared" si="0"/>
        <v>-3.3674446880110032E-11</v>
      </c>
      <c r="H46" s="25">
        <f t="shared" si="2"/>
        <v>1</v>
      </c>
      <c r="I46" s="26">
        <v>64197.777000000002</v>
      </c>
      <c r="J46" s="27">
        <v>2.4315679E-2</v>
      </c>
      <c r="K46" s="28">
        <f t="shared" si="1"/>
        <v>0.15660427239258781</v>
      </c>
      <c r="L46" s="29">
        <f t="shared" si="3"/>
        <v>0</v>
      </c>
    </row>
    <row r="47" spans="2:12" x14ac:dyDescent="0.25">
      <c r="B47" s="43" t="s">
        <v>774</v>
      </c>
      <c r="C47" s="30">
        <v>86147.080398443562</v>
      </c>
      <c r="D47" s="31">
        <v>3.4202593669999999</v>
      </c>
      <c r="E47" s="22">
        <v>86147.080400000006</v>
      </c>
      <c r="F47" s="23">
        <v>3.2396638520000001</v>
      </c>
      <c r="G47" s="24">
        <f t="shared" si="0"/>
        <v>1.8067283787179655E-11</v>
      </c>
      <c r="H47" s="25">
        <f t="shared" si="2"/>
        <v>1</v>
      </c>
      <c r="I47" s="26">
        <v>98035.955400000006</v>
      </c>
      <c r="J47" s="27">
        <v>2.0097644000000001E-2</v>
      </c>
      <c r="K47" s="28">
        <f t="shared" si="1"/>
        <v>0.13800670837094606</v>
      </c>
      <c r="L47" s="29">
        <f t="shared" si="3"/>
        <v>0</v>
      </c>
    </row>
    <row r="48" spans="2:12" x14ac:dyDescent="0.25">
      <c r="B48" s="43" t="s">
        <v>775</v>
      </c>
      <c r="C48" s="30">
        <v>70735.404974514095</v>
      </c>
      <c r="D48" s="31">
        <v>13.682427969000001</v>
      </c>
      <c r="E48" s="22">
        <v>70735.404999999999</v>
      </c>
      <c r="F48" s="23">
        <v>3.138592815</v>
      </c>
      <c r="G48" s="24">
        <f t="shared" si="0"/>
        <v>3.6029912033456555E-10</v>
      </c>
      <c r="H48" s="25">
        <f t="shared" si="2"/>
        <v>1</v>
      </c>
      <c r="I48" s="26">
        <v>70971.115699999995</v>
      </c>
      <c r="J48" s="27">
        <v>2.0954589999999999E-2</v>
      </c>
      <c r="K48" s="28">
        <f t="shared" si="1"/>
        <v>3.332287778246644E-3</v>
      </c>
      <c r="L48" s="29">
        <f t="shared" si="3"/>
        <v>0</v>
      </c>
    </row>
    <row r="49" spans="2:12" x14ac:dyDescent="0.25">
      <c r="B49" s="43" t="s">
        <v>776</v>
      </c>
      <c r="C49" s="30">
        <v>91915.4509172486</v>
      </c>
      <c r="D49" s="31">
        <v>12.630880208000001</v>
      </c>
      <c r="E49" s="22">
        <v>91915.450899999996</v>
      </c>
      <c r="F49" s="23">
        <v>2.8771232279999999</v>
      </c>
      <c r="G49" s="24">
        <f t="shared" si="0"/>
        <v>-1.8765727880115127E-10</v>
      </c>
      <c r="H49" s="25">
        <f t="shared" si="2"/>
        <v>1</v>
      </c>
      <c r="I49" s="26">
        <v>99453.705799999996</v>
      </c>
      <c r="J49" s="27">
        <v>2.1552136999999999E-2</v>
      </c>
      <c r="K49" s="28">
        <f t="shared" si="1"/>
        <v>8.2012923915676383E-2</v>
      </c>
      <c r="L49" s="29">
        <f t="shared" si="3"/>
        <v>0</v>
      </c>
    </row>
    <row r="50" spans="2:12" x14ac:dyDescent="0.25">
      <c r="B50" s="43" t="s">
        <v>777</v>
      </c>
      <c r="C50" s="30">
        <v>84110.632618914082</v>
      </c>
      <c r="D50" s="31">
        <v>3.0078232850000002</v>
      </c>
      <c r="E50" s="22">
        <v>84110.632599999997</v>
      </c>
      <c r="F50" s="23">
        <v>2.546449532</v>
      </c>
      <c r="G50" s="24">
        <f t="shared" si="0"/>
        <v>-2.2487150625068812E-10</v>
      </c>
      <c r="H50" s="25">
        <f t="shared" si="2"/>
        <v>1</v>
      </c>
      <c r="I50" s="26">
        <v>91373.524900000004</v>
      </c>
      <c r="J50" s="27">
        <v>2.2389236E-2</v>
      </c>
      <c r="K50" s="28">
        <f t="shared" si="1"/>
        <v>8.6349276600883693E-2</v>
      </c>
      <c r="L50" s="29">
        <f t="shared" si="3"/>
        <v>0</v>
      </c>
    </row>
    <row r="51" spans="2:12" x14ac:dyDescent="0.25">
      <c r="B51" s="43" t="s">
        <v>778</v>
      </c>
      <c r="C51" s="30">
        <v>100936.94463522153</v>
      </c>
      <c r="D51" s="31">
        <v>15.916351556</v>
      </c>
      <c r="E51" s="22">
        <v>100936.9446</v>
      </c>
      <c r="F51" s="23">
        <v>2.8465118290000002</v>
      </c>
      <c r="G51" s="24">
        <f t="shared" si="0"/>
        <v>-3.4894585432126172E-10</v>
      </c>
      <c r="H51" s="25">
        <f t="shared" si="2"/>
        <v>1</v>
      </c>
      <c r="I51" s="26">
        <v>109296.47779999999</v>
      </c>
      <c r="J51" s="27">
        <v>2.1347311000000001E-2</v>
      </c>
      <c r="K51" s="28">
        <f t="shared" si="1"/>
        <v>8.2819360096436256E-2</v>
      </c>
      <c r="L51" s="29">
        <f t="shared" si="3"/>
        <v>0</v>
      </c>
    </row>
    <row r="52" spans="2:12" x14ac:dyDescent="0.25">
      <c r="B52" s="43" t="s">
        <v>779</v>
      </c>
      <c r="C52" s="30">
        <v>92941.715992998623</v>
      </c>
      <c r="D52" s="31">
        <v>14.871690847</v>
      </c>
      <c r="E52" s="22">
        <v>92941.716</v>
      </c>
      <c r="F52" s="23">
        <v>2.7245409</v>
      </c>
      <c r="G52" s="24">
        <f t="shared" si="0"/>
        <v>7.5330839881058272E-11</v>
      </c>
      <c r="H52" s="25">
        <f t="shared" si="2"/>
        <v>1</v>
      </c>
      <c r="I52" s="26">
        <v>98706.343599999993</v>
      </c>
      <c r="J52" s="27">
        <v>2.0882273999999999E-2</v>
      </c>
      <c r="K52" s="28">
        <f t="shared" si="1"/>
        <v>6.2024114203310214E-2</v>
      </c>
      <c r="L52" s="29">
        <f t="shared" si="3"/>
        <v>0</v>
      </c>
    </row>
    <row r="53" spans="2:12" x14ac:dyDescent="0.25">
      <c r="B53" s="43" t="s">
        <v>780</v>
      </c>
      <c r="C53" s="30">
        <v>82911.665135813164</v>
      </c>
      <c r="D53" s="31">
        <v>2.5953928319999999</v>
      </c>
      <c r="E53" s="22">
        <v>82911.665099999998</v>
      </c>
      <c r="F53" s="23">
        <v>2.695561079</v>
      </c>
      <c r="G53" s="24">
        <f t="shared" si="0"/>
        <v>-4.3194362985101495E-10</v>
      </c>
      <c r="H53" s="25">
        <f t="shared" si="2"/>
        <v>1</v>
      </c>
      <c r="I53" s="26">
        <v>85831.031900000002</v>
      </c>
      <c r="J53" s="27">
        <v>2.8018754E-2</v>
      </c>
      <c r="K53" s="28">
        <f t="shared" si="1"/>
        <v>3.5210567287543668E-2</v>
      </c>
      <c r="L53" s="29">
        <f t="shared" si="3"/>
        <v>0</v>
      </c>
    </row>
    <row r="54" spans="2:12" x14ac:dyDescent="0.25">
      <c r="B54" s="43" t="s">
        <v>781</v>
      </c>
      <c r="C54" s="30">
        <v>77979.998240976987</v>
      </c>
      <c r="D54" s="31">
        <v>10.402957952</v>
      </c>
      <c r="E54" s="22">
        <v>77979.998200000002</v>
      </c>
      <c r="F54" s="23">
        <v>4.781135184</v>
      </c>
      <c r="G54" s="24">
        <f t="shared" si="0"/>
        <v>-5.2548071811297482E-10</v>
      </c>
      <c r="H54" s="25">
        <f t="shared" si="2"/>
        <v>1</v>
      </c>
      <c r="I54" s="26">
        <v>88819.282200000001</v>
      </c>
      <c r="J54" s="27">
        <v>4.8710087999999999E-2</v>
      </c>
      <c r="K54" s="28">
        <f t="shared" si="1"/>
        <v>0.13900082333327343</v>
      </c>
      <c r="L54" s="29">
        <f t="shared" si="3"/>
        <v>0</v>
      </c>
    </row>
    <row r="55" spans="2:12" x14ac:dyDescent="0.25">
      <c r="B55" s="43" t="s">
        <v>782</v>
      </c>
      <c r="C55" s="30">
        <v>64990.877374422154</v>
      </c>
      <c r="D55" s="31">
        <v>13.878307559</v>
      </c>
      <c r="E55" s="22">
        <v>64990.877399999998</v>
      </c>
      <c r="F55" s="23">
        <v>5.2555483760000001</v>
      </c>
      <c r="G55" s="24">
        <f t="shared" si="0"/>
        <v>3.9356051529942775E-10</v>
      </c>
      <c r="H55" s="25">
        <f t="shared" si="2"/>
        <v>1</v>
      </c>
      <c r="I55" s="26">
        <v>73723.860799999995</v>
      </c>
      <c r="J55" s="27">
        <v>2.9559048000000001E-2</v>
      </c>
      <c r="K55" s="28">
        <f t="shared" si="1"/>
        <v>0.13437245007889059</v>
      </c>
      <c r="L55" s="29">
        <f t="shared" si="3"/>
        <v>0</v>
      </c>
    </row>
    <row r="56" spans="2:12" x14ac:dyDescent="0.25">
      <c r="B56" s="43" t="s">
        <v>783</v>
      </c>
      <c r="C56" s="30">
        <v>68618.132056986302</v>
      </c>
      <c r="D56" s="31">
        <v>20.517622844000002</v>
      </c>
      <c r="E56" s="22">
        <v>68618.132100000003</v>
      </c>
      <c r="F56" s="23">
        <v>5.202644126</v>
      </c>
      <c r="G56" s="24">
        <f t="shared" si="0"/>
        <v>6.2685618718952548E-10</v>
      </c>
      <c r="H56" s="25">
        <f t="shared" si="2"/>
        <v>1</v>
      </c>
      <c r="I56" s="26">
        <v>74927.415200000003</v>
      </c>
      <c r="J56" s="27">
        <v>3.0356132000000001E-2</v>
      </c>
      <c r="K56" s="28">
        <f t="shared" si="1"/>
        <v>9.1947754243352747E-2</v>
      </c>
      <c r="L56" s="29">
        <f t="shared" si="3"/>
        <v>0</v>
      </c>
    </row>
    <row r="57" spans="2:12" x14ac:dyDescent="0.25">
      <c r="B57" s="43" t="s">
        <v>784</v>
      </c>
      <c r="C57" s="30">
        <v>70362.424960106626</v>
      </c>
      <c r="D57" s="31">
        <v>22.735039919999998</v>
      </c>
      <c r="E57" s="22">
        <v>70362.425000000003</v>
      </c>
      <c r="F57" s="23">
        <v>4.3315967850000003</v>
      </c>
      <c r="G57" s="24">
        <f t="shared" si="0"/>
        <v>5.6696990089888324E-10</v>
      </c>
      <c r="H57" s="25">
        <f t="shared" si="2"/>
        <v>1</v>
      </c>
      <c r="I57" s="26">
        <v>76249.108800000002</v>
      </c>
      <c r="J57" s="27">
        <v>2.8882483E-2</v>
      </c>
      <c r="K57" s="28">
        <f t="shared" si="1"/>
        <v>8.3662321803589748E-2</v>
      </c>
      <c r="L57" s="29">
        <f t="shared" si="3"/>
        <v>0</v>
      </c>
    </row>
    <row r="58" spans="2:12" x14ac:dyDescent="0.25">
      <c r="B58" s="43" t="s">
        <v>785</v>
      </c>
      <c r="C58" s="30">
        <v>74891.320397244388</v>
      </c>
      <c r="D58" s="31">
        <v>24.299646256999999</v>
      </c>
      <c r="E58" s="22">
        <v>74891.320399999997</v>
      </c>
      <c r="F58" s="23">
        <v>4.9786766289999997</v>
      </c>
      <c r="G58" s="24">
        <f t="shared" si="0"/>
        <v>3.6794769549901706E-11</v>
      </c>
      <c r="H58" s="25">
        <f t="shared" si="2"/>
        <v>1</v>
      </c>
      <c r="I58" s="26">
        <v>90533.772800000006</v>
      </c>
      <c r="J58" s="27">
        <v>2.9584896999999999E-2</v>
      </c>
      <c r="K58" s="28">
        <f t="shared" si="1"/>
        <v>0.20886869559494614</v>
      </c>
      <c r="L58" s="29">
        <f t="shared" si="3"/>
        <v>0</v>
      </c>
    </row>
    <row r="59" spans="2:12" x14ac:dyDescent="0.25">
      <c r="B59" s="43" t="s">
        <v>786</v>
      </c>
      <c r="C59" s="30">
        <v>52793.898775189911</v>
      </c>
      <c r="D59" s="31">
        <v>9.3241535849999995</v>
      </c>
      <c r="E59" s="22">
        <v>52793.898800000003</v>
      </c>
      <c r="F59" s="23">
        <v>4.5976615000000001</v>
      </c>
      <c r="G59" s="24">
        <f t="shared" si="0"/>
        <v>4.6994239852215258E-10</v>
      </c>
      <c r="H59" s="25">
        <f t="shared" si="2"/>
        <v>1</v>
      </c>
      <c r="I59" s="26">
        <v>58990.556600000004</v>
      </c>
      <c r="J59" s="27">
        <v>2.9843336000000002E-2</v>
      </c>
      <c r="K59" s="28">
        <f t="shared" si="1"/>
        <v>0.11737450668678716</v>
      </c>
      <c r="L59" s="29">
        <f t="shared" si="3"/>
        <v>0</v>
      </c>
    </row>
    <row r="60" spans="2:12" x14ac:dyDescent="0.25">
      <c r="B60" s="43" t="s">
        <v>787</v>
      </c>
      <c r="C60" s="30">
        <v>73607.101839508134</v>
      </c>
      <c r="D60" s="31">
        <v>16.099867904</v>
      </c>
      <c r="E60" s="22">
        <v>73607.101800000004</v>
      </c>
      <c r="F60" s="23">
        <v>4.8106289709999999</v>
      </c>
      <c r="G60" s="24">
        <f t="shared" si="0"/>
        <v>-5.367434488729625E-10</v>
      </c>
      <c r="H60" s="25">
        <f t="shared" si="2"/>
        <v>1</v>
      </c>
      <c r="I60" s="26">
        <v>79793.357999999993</v>
      </c>
      <c r="J60" s="27">
        <v>3.0984858000000001E-2</v>
      </c>
      <c r="K60" s="28">
        <f t="shared" si="1"/>
        <v>8.4044283851581109E-2</v>
      </c>
      <c r="L60" s="29">
        <f t="shared" si="3"/>
        <v>0</v>
      </c>
    </row>
    <row r="61" spans="2:12" x14ac:dyDescent="0.25">
      <c r="B61" s="43" t="s">
        <v>788</v>
      </c>
      <c r="C61" s="30">
        <v>81424.431703671231</v>
      </c>
      <c r="D61" s="31">
        <v>23.449658926000001</v>
      </c>
      <c r="E61" s="22">
        <v>81424.431700000001</v>
      </c>
      <c r="F61" s="23">
        <v>4.7675442480000001</v>
      </c>
      <c r="G61" s="24">
        <f t="shared" si="0"/>
        <v>-4.5087572078479785E-11</v>
      </c>
      <c r="H61" s="25">
        <f t="shared" si="2"/>
        <v>1</v>
      </c>
      <c r="I61" s="26">
        <v>97168.711299999995</v>
      </c>
      <c r="J61" s="27">
        <v>3.0783617999999999E-2</v>
      </c>
      <c r="K61" s="28">
        <f t="shared" si="1"/>
        <v>0.19336063226854419</v>
      </c>
      <c r="L61" s="29">
        <f t="shared" si="3"/>
        <v>0</v>
      </c>
    </row>
    <row r="62" spans="2:12" x14ac:dyDescent="0.25">
      <c r="B62" s="43" t="s">
        <v>789</v>
      </c>
      <c r="C62" s="30">
        <v>70788.602662511854</v>
      </c>
      <c r="D62" s="31">
        <v>2.6163901850000002</v>
      </c>
      <c r="E62" s="22">
        <v>70788.602700000003</v>
      </c>
      <c r="F62" s="23">
        <v>4.8953546640000001</v>
      </c>
      <c r="G62" s="24">
        <f t="shared" si="0"/>
        <v>5.2957888468186772E-10</v>
      </c>
      <c r="H62" s="25">
        <f t="shared" si="2"/>
        <v>1</v>
      </c>
      <c r="I62" s="26">
        <v>81719.832999999999</v>
      </c>
      <c r="J62" s="27">
        <v>3.1108009999999998E-2</v>
      </c>
      <c r="K62" s="28">
        <f t="shared" si="1"/>
        <v>0.15442076727525367</v>
      </c>
      <c r="L62" s="29">
        <f t="shared" si="3"/>
        <v>0</v>
      </c>
    </row>
    <row r="63" spans="2:12" x14ac:dyDescent="0.25">
      <c r="B63" s="43" t="s">
        <v>790</v>
      </c>
      <c r="C63" s="30">
        <v>69890.485281264569</v>
      </c>
      <c r="D63" s="31">
        <v>10.683397920999999</v>
      </c>
      <c r="E63" s="22">
        <v>69890.4853</v>
      </c>
      <c r="F63" s="23">
        <v>4.717789657</v>
      </c>
      <c r="G63" s="24">
        <f t="shared" si="0"/>
        <v>2.6806840316041113E-10</v>
      </c>
      <c r="H63" s="25">
        <f t="shared" si="2"/>
        <v>1</v>
      </c>
      <c r="I63" s="26">
        <v>78558.780599999998</v>
      </c>
      <c r="J63" s="27">
        <v>3.1496382000000003E-2</v>
      </c>
      <c r="K63" s="28">
        <f t="shared" si="1"/>
        <v>0.12402682974443625</v>
      </c>
      <c r="L63" s="29">
        <f t="shared" si="3"/>
        <v>0</v>
      </c>
    </row>
    <row r="64" spans="2:12" x14ac:dyDescent="0.25">
      <c r="B64" s="43" t="s">
        <v>791</v>
      </c>
      <c r="C64" s="30">
        <v>71323.128040648022</v>
      </c>
      <c r="D64" s="31">
        <v>16.774232083000001</v>
      </c>
      <c r="E64" s="22">
        <v>71323.127999999997</v>
      </c>
      <c r="F64" s="23">
        <v>7.5854724009999996</v>
      </c>
      <c r="G64" s="24">
        <f t="shared" si="0"/>
        <v>-5.6991365907702165E-10</v>
      </c>
      <c r="H64" s="25">
        <f t="shared" si="2"/>
        <v>1</v>
      </c>
      <c r="I64" s="26">
        <v>82904.807100000005</v>
      </c>
      <c r="J64" s="27">
        <v>3.6179586E-2</v>
      </c>
      <c r="K64" s="28">
        <f t="shared" si="1"/>
        <v>0.1623832181442102</v>
      </c>
      <c r="L64" s="29">
        <f t="shared" si="3"/>
        <v>0</v>
      </c>
    </row>
    <row r="65" spans="2:12" x14ac:dyDescent="0.25">
      <c r="B65" s="43" t="s">
        <v>792</v>
      </c>
      <c r="C65" s="30">
        <v>49534.291196810642</v>
      </c>
      <c r="D65" s="31">
        <v>2.7612385549999998</v>
      </c>
      <c r="E65" s="22">
        <v>49534.2912</v>
      </c>
      <c r="F65" s="23">
        <v>6.4139432950000002</v>
      </c>
      <c r="G65" s="24">
        <f t="shared" si="0"/>
        <v>6.4386866864499393E-11</v>
      </c>
      <c r="H65" s="25">
        <f t="shared" si="2"/>
        <v>1</v>
      </c>
      <c r="I65" s="26">
        <v>60144.637199999997</v>
      </c>
      <c r="J65" s="27">
        <v>3.586889E-2</v>
      </c>
      <c r="K65" s="28">
        <f t="shared" si="1"/>
        <v>0.21420203553599093</v>
      </c>
      <c r="L65" s="29">
        <f t="shared" si="3"/>
        <v>0</v>
      </c>
    </row>
    <row r="66" spans="2:12" x14ac:dyDescent="0.25">
      <c r="B66" s="43" t="s">
        <v>793</v>
      </c>
      <c r="C66" s="30">
        <v>62494.94607789255</v>
      </c>
      <c r="D66" s="31">
        <v>24.131474184000002</v>
      </c>
      <c r="E66" s="22">
        <v>62494.946100000001</v>
      </c>
      <c r="F66" s="23">
        <v>6.8987683200000003</v>
      </c>
      <c r="G66" s="24">
        <f t="shared" si="0"/>
        <v>3.5374782924559938E-10</v>
      </c>
      <c r="H66" s="25">
        <f t="shared" si="2"/>
        <v>1</v>
      </c>
      <c r="I66" s="26">
        <v>73911.124200000006</v>
      </c>
      <c r="J66" s="27">
        <v>3.8763328E-2</v>
      </c>
      <c r="K66" s="28">
        <f t="shared" si="1"/>
        <v>0.18267362144578125</v>
      </c>
      <c r="L66" s="29">
        <f t="shared" si="3"/>
        <v>0</v>
      </c>
    </row>
    <row r="67" spans="2:12" x14ac:dyDescent="0.25">
      <c r="B67" s="43" t="s">
        <v>794</v>
      </c>
      <c r="C67" s="30">
        <v>59127.115671256186</v>
      </c>
      <c r="D67" s="31">
        <v>2.7775802700000001</v>
      </c>
      <c r="E67" s="22">
        <v>59127.115700000002</v>
      </c>
      <c r="F67" s="23">
        <v>6.7141056509999997</v>
      </c>
      <c r="G67" s="24">
        <f t="shared" si="0"/>
        <v>4.8613594198976471E-10</v>
      </c>
      <c r="H67" s="25">
        <f t="shared" si="2"/>
        <v>1</v>
      </c>
      <c r="I67" s="26">
        <v>70273.616999999998</v>
      </c>
      <c r="J67" s="27">
        <v>3.6112348000000002E-2</v>
      </c>
      <c r="K67" s="28">
        <f t="shared" si="1"/>
        <v>0.18851758964056023</v>
      </c>
      <c r="L67" s="29">
        <f t="shared" si="3"/>
        <v>0</v>
      </c>
    </row>
    <row r="68" spans="2:12" x14ac:dyDescent="0.25">
      <c r="B68" s="43" t="s">
        <v>795</v>
      </c>
      <c r="C68" s="30">
        <v>56417.30516226586</v>
      </c>
      <c r="D68" s="31">
        <v>28.871099372</v>
      </c>
      <c r="E68" s="22">
        <v>56417.305200000003</v>
      </c>
      <c r="F68" s="23">
        <v>6.9144334150000004</v>
      </c>
      <c r="G68" s="24">
        <f t="shared" ref="G68:G123" si="4">(E68-C68)/C68</f>
        <v>6.6883985310267785E-10</v>
      </c>
      <c r="H68" s="25">
        <f t="shared" si="2"/>
        <v>1</v>
      </c>
      <c r="I68" s="26">
        <v>65062.633999999998</v>
      </c>
      <c r="J68" s="27">
        <v>0.10146189899999999</v>
      </c>
      <c r="K68" s="28">
        <f t="shared" ref="K68:K123" si="5">(I68-C68)/C68</f>
        <v>0.15323895412708366</v>
      </c>
      <c r="L68" s="29">
        <f t="shared" si="3"/>
        <v>0</v>
      </c>
    </row>
    <row r="69" spans="2:12" x14ac:dyDescent="0.25">
      <c r="B69" s="43" t="s">
        <v>796</v>
      </c>
      <c r="C69" s="30">
        <v>63199.098876837132</v>
      </c>
      <c r="D69" s="31">
        <v>2.5630033889999999</v>
      </c>
      <c r="E69" s="22">
        <v>63199.098899999997</v>
      </c>
      <c r="F69" s="23">
        <v>6.0944336249999997</v>
      </c>
      <c r="G69" s="24">
        <f t="shared" si="4"/>
        <v>3.6650626286207997E-10</v>
      </c>
      <c r="H69" s="25">
        <f t="shared" ref="H69:H123" si="6">IF(G69&lt;0.000001,1,0)</f>
        <v>1</v>
      </c>
      <c r="I69" s="26">
        <v>75519.34</v>
      </c>
      <c r="J69" s="27">
        <v>3.5734526000000003E-2</v>
      </c>
      <c r="K69" s="28">
        <f t="shared" si="5"/>
        <v>0.19494330365647525</v>
      </c>
      <c r="L69" s="29">
        <f t="shared" ref="L69:L123" si="7">IF(K69&lt;0.000001,1,0)</f>
        <v>0</v>
      </c>
    </row>
    <row r="70" spans="2:12" x14ac:dyDescent="0.25">
      <c r="B70" s="43" t="s">
        <v>797</v>
      </c>
      <c r="C70" s="30">
        <v>66876.447730221931</v>
      </c>
      <c r="D70" s="31">
        <v>19.262109896999998</v>
      </c>
      <c r="E70" s="22">
        <v>66876.447700000004</v>
      </c>
      <c r="F70" s="23">
        <v>6.5633042599999998</v>
      </c>
      <c r="G70" s="24">
        <f t="shared" si="4"/>
        <v>-4.5190688035973196E-10</v>
      </c>
      <c r="H70" s="25">
        <f t="shared" si="6"/>
        <v>1</v>
      </c>
      <c r="I70" s="26">
        <v>79664.321400000001</v>
      </c>
      <c r="J70" s="27">
        <v>3.9799813000000003E-2</v>
      </c>
      <c r="K70" s="28">
        <f t="shared" si="5"/>
        <v>0.19121640134601739</v>
      </c>
      <c r="L70" s="29">
        <f t="shared" si="7"/>
        <v>0</v>
      </c>
    </row>
    <row r="71" spans="2:12" x14ac:dyDescent="0.25">
      <c r="B71" s="43" t="s">
        <v>798</v>
      </c>
      <c r="C71" s="30">
        <v>57778.305263108821</v>
      </c>
      <c r="D71" s="31">
        <v>7.4384335479999999</v>
      </c>
      <c r="E71" s="22">
        <v>57778.3053</v>
      </c>
      <c r="F71" s="23">
        <v>6.5842477559999999</v>
      </c>
      <c r="G71" s="24">
        <f t="shared" si="4"/>
        <v>6.3849534152717449E-10</v>
      </c>
      <c r="H71" s="25">
        <f t="shared" si="6"/>
        <v>1</v>
      </c>
      <c r="I71" s="26">
        <v>67495.701000000001</v>
      </c>
      <c r="J71" s="27">
        <v>3.7689113000000003E-2</v>
      </c>
      <c r="K71" s="28">
        <f t="shared" si="5"/>
        <v>0.16818415999985536</v>
      </c>
      <c r="L71" s="29">
        <f t="shared" si="7"/>
        <v>0</v>
      </c>
    </row>
    <row r="72" spans="2:12" x14ac:dyDescent="0.25">
      <c r="B72" s="43" t="s">
        <v>799</v>
      </c>
      <c r="C72" s="30">
        <v>69061.430496913265</v>
      </c>
      <c r="D72" s="31">
        <v>2.6642821639999998</v>
      </c>
      <c r="E72" s="22">
        <v>69061.430500000002</v>
      </c>
      <c r="F72" s="23">
        <v>6.8025628979999997</v>
      </c>
      <c r="G72" s="24">
        <f t="shared" si="4"/>
        <v>4.4695536772350978E-11</v>
      </c>
      <c r="H72" s="25">
        <f t="shared" si="6"/>
        <v>1</v>
      </c>
      <c r="I72" s="26">
        <v>85123.976500000004</v>
      </c>
      <c r="J72" s="27">
        <v>3.7488835999999998E-2</v>
      </c>
      <c r="K72" s="28">
        <f t="shared" si="5"/>
        <v>0.23258345341984574</v>
      </c>
      <c r="L72" s="29">
        <f t="shared" si="7"/>
        <v>0</v>
      </c>
    </row>
    <row r="73" spans="2:12" x14ac:dyDescent="0.25">
      <c r="B73" s="43" t="s">
        <v>800</v>
      </c>
      <c r="C73" s="30">
        <v>60397.871958385185</v>
      </c>
      <c r="D73" s="31">
        <v>2.8133864449999999</v>
      </c>
      <c r="E73" s="22">
        <v>60397.872000000003</v>
      </c>
      <c r="F73" s="23">
        <v>7.0787196019999996</v>
      </c>
      <c r="G73" s="24">
        <f t="shared" si="4"/>
        <v>6.8901132435795656E-10</v>
      </c>
      <c r="H73" s="25">
        <f t="shared" si="6"/>
        <v>1</v>
      </c>
      <c r="I73" s="26">
        <v>66317.589000000007</v>
      </c>
      <c r="J73" s="27">
        <v>3.6864756999999998E-2</v>
      </c>
      <c r="K73" s="28">
        <f t="shared" si="5"/>
        <v>9.8012013497653913E-2</v>
      </c>
      <c r="L73" s="29">
        <f t="shared" si="7"/>
        <v>0</v>
      </c>
    </row>
    <row r="74" spans="2:12" x14ac:dyDescent="0.25">
      <c r="B74" s="43" t="s">
        <v>801</v>
      </c>
      <c r="C74" s="30">
        <v>67807.163771585125</v>
      </c>
      <c r="D74" s="31">
        <v>18.139691884000001</v>
      </c>
      <c r="E74" s="22">
        <v>67807.163799999995</v>
      </c>
      <c r="F74" s="23">
        <v>8.8592737120000002</v>
      </c>
      <c r="G74" s="24">
        <f t="shared" si="4"/>
        <v>4.1905410062519151E-10</v>
      </c>
      <c r="H74" s="25">
        <f t="shared" si="6"/>
        <v>1</v>
      </c>
      <c r="I74" s="26">
        <v>83660.315900000001</v>
      </c>
      <c r="J74" s="27">
        <v>4.4956188000000001E-2</v>
      </c>
      <c r="K74" s="28">
        <f t="shared" si="5"/>
        <v>0.2337975996432726</v>
      </c>
      <c r="L74" s="29">
        <f t="shared" si="7"/>
        <v>0</v>
      </c>
    </row>
    <row r="75" spans="2:12" x14ac:dyDescent="0.25">
      <c r="B75" s="43" t="s">
        <v>802</v>
      </c>
      <c r="C75" s="30">
        <v>50713.6979996398</v>
      </c>
      <c r="D75" s="31">
        <v>12.099361067</v>
      </c>
      <c r="E75" s="22">
        <v>50713.697999999997</v>
      </c>
      <c r="F75" s="23">
        <v>9.9916418189999998</v>
      </c>
      <c r="G75" s="24">
        <f t="shared" si="4"/>
        <v>7.1025442020163636E-12</v>
      </c>
      <c r="H75" s="25">
        <f t="shared" si="6"/>
        <v>1</v>
      </c>
      <c r="I75" s="26">
        <v>60540.559200000003</v>
      </c>
      <c r="J75" s="27">
        <v>4.4510368000000002E-2</v>
      </c>
      <c r="K75" s="28">
        <f t="shared" si="5"/>
        <v>0.19377133965718688</v>
      </c>
      <c r="L75" s="29">
        <f t="shared" si="7"/>
        <v>0</v>
      </c>
    </row>
    <row r="76" spans="2:12" x14ac:dyDescent="0.25">
      <c r="B76" s="43" t="s">
        <v>803</v>
      </c>
      <c r="C76" s="30">
        <v>36971.198296050818</v>
      </c>
      <c r="D76" s="31">
        <v>2.7902511379999999</v>
      </c>
      <c r="E76" s="22">
        <v>36971.198299999996</v>
      </c>
      <c r="F76" s="23">
        <v>8.2722247650000007</v>
      </c>
      <c r="G76" s="24">
        <f t="shared" si="4"/>
        <v>1.0681771141374649E-10</v>
      </c>
      <c r="H76" s="25">
        <f t="shared" si="6"/>
        <v>1</v>
      </c>
      <c r="I76" s="26">
        <v>44673.457600000002</v>
      </c>
      <c r="J76" s="27">
        <v>4.8713965999999997E-2</v>
      </c>
      <c r="K76" s="28">
        <f t="shared" si="5"/>
        <v>0.20833134058226949</v>
      </c>
      <c r="L76" s="29">
        <f t="shared" si="7"/>
        <v>0</v>
      </c>
    </row>
    <row r="77" spans="2:12" x14ac:dyDescent="0.25">
      <c r="B77" s="43" t="s">
        <v>804</v>
      </c>
      <c r="C77" s="30">
        <v>54695.317504827348</v>
      </c>
      <c r="D77" s="31">
        <v>2.5687844489999998</v>
      </c>
      <c r="E77" s="22">
        <v>54695.317499999997</v>
      </c>
      <c r="F77" s="23">
        <v>9.4007875690000002</v>
      </c>
      <c r="G77" s="24">
        <f t="shared" si="4"/>
        <v>-8.82589354020253E-11</v>
      </c>
      <c r="H77" s="25">
        <f t="shared" si="6"/>
        <v>1</v>
      </c>
      <c r="I77" s="26">
        <v>67495.633000000002</v>
      </c>
      <c r="J77" s="27">
        <v>4.1588796999999997E-2</v>
      </c>
      <c r="K77" s="28">
        <f t="shared" si="5"/>
        <v>0.23402945771441791</v>
      </c>
      <c r="L77" s="29">
        <f t="shared" si="7"/>
        <v>0</v>
      </c>
    </row>
    <row r="78" spans="2:12" x14ac:dyDescent="0.25">
      <c r="B78" s="43" t="s">
        <v>805</v>
      </c>
      <c r="C78" s="30">
        <v>58023.847922272886</v>
      </c>
      <c r="D78" s="31">
        <v>24.133313451999999</v>
      </c>
      <c r="E78" s="22">
        <v>58023.847900000001</v>
      </c>
      <c r="F78" s="23">
        <v>10.154862415</v>
      </c>
      <c r="G78" s="24">
        <f t="shared" si="4"/>
        <v>-3.8385742689773168E-10</v>
      </c>
      <c r="H78" s="25">
        <f t="shared" si="6"/>
        <v>1</v>
      </c>
      <c r="I78" s="26">
        <v>77239.019899999999</v>
      </c>
      <c r="J78" s="27">
        <v>4.3222990000000003E-2</v>
      </c>
      <c r="K78" s="28">
        <f t="shared" si="5"/>
        <v>0.33115990520772109</v>
      </c>
      <c r="L78" s="29">
        <f t="shared" si="7"/>
        <v>0</v>
      </c>
    </row>
    <row r="79" spans="2:12" x14ac:dyDescent="0.25">
      <c r="B79" s="43" t="s">
        <v>806</v>
      </c>
      <c r="C79" s="30">
        <v>64347.352988920349</v>
      </c>
      <c r="D79" s="31">
        <v>6.921039478</v>
      </c>
      <c r="E79" s="22">
        <v>64347.353000000003</v>
      </c>
      <c r="F79" s="23">
        <v>9.6704927180000002</v>
      </c>
      <c r="G79" s="24">
        <f t="shared" si="4"/>
        <v>1.7218507238057688E-10</v>
      </c>
      <c r="H79" s="25">
        <f t="shared" si="6"/>
        <v>1</v>
      </c>
      <c r="I79" s="26">
        <v>88311.657399999996</v>
      </c>
      <c r="J79" s="27">
        <v>4.4488866000000002E-2</v>
      </c>
      <c r="K79" s="28">
        <f t="shared" si="5"/>
        <v>0.37242098233949023</v>
      </c>
      <c r="L79" s="29">
        <f t="shared" si="7"/>
        <v>0</v>
      </c>
    </row>
    <row r="80" spans="2:12" x14ac:dyDescent="0.25">
      <c r="B80" s="43" t="s">
        <v>807</v>
      </c>
      <c r="C80" s="30">
        <v>66032.945118060001</v>
      </c>
      <c r="D80" s="31">
        <v>11.039007026</v>
      </c>
      <c r="E80" s="22">
        <v>66032.945099999997</v>
      </c>
      <c r="F80" s="23">
        <v>10.048963713999999</v>
      </c>
      <c r="G80" s="24">
        <f t="shared" si="4"/>
        <v>-2.7349989626906332E-10</v>
      </c>
      <c r="H80" s="25">
        <f t="shared" si="6"/>
        <v>1</v>
      </c>
      <c r="I80" s="26">
        <v>81267.0533</v>
      </c>
      <c r="J80" s="27">
        <v>5.1512954E-2</v>
      </c>
      <c r="K80" s="28">
        <f t="shared" si="5"/>
        <v>0.23070466044946211</v>
      </c>
      <c r="L80" s="29">
        <f t="shared" si="7"/>
        <v>0</v>
      </c>
    </row>
    <row r="81" spans="2:12" x14ac:dyDescent="0.25">
      <c r="B81" s="43" t="s">
        <v>808</v>
      </c>
      <c r="C81" s="30">
        <v>54533.07724179091</v>
      </c>
      <c r="D81" s="31">
        <v>2.6855891719999998</v>
      </c>
      <c r="E81" s="22">
        <v>54533.0772</v>
      </c>
      <c r="F81" s="23">
        <v>9.1543651369999992</v>
      </c>
      <c r="G81" s="24">
        <f t="shared" si="4"/>
        <v>-7.6634058788455197E-10</v>
      </c>
      <c r="H81" s="25">
        <f t="shared" si="6"/>
        <v>1</v>
      </c>
      <c r="I81" s="26">
        <v>68564.993700000006</v>
      </c>
      <c r="J81" s="27">
        <v>8.3236274999999998E-2</v>
      </c>
      <c r="K81" s="28">
        <f t="shared" si="5"/>
        <v>0.25731018985035142</v>
      </c>
      <c r="L81" s="29">
        <f t="shared" si="7"/>
        <v>0</v>
      </c>
    </row>
    <row r="82" spans="2:12" x14ac:dyDescent="0.25">
      <c r="B82" s="43" t="s">
        <v>809</v>
      </c>
      <c r="C82" s="30">
        <v>68881.9967943066</v>
      </c>
      <c r="D82" s="31">
        <v>7.3777350789999998</v>
      </c>
      <c r="E82" s="22">
        <v>68881.996799999994</v>
      </c>
      <c r="F82" s="23">
        <v>9.9915009569999995</v>
      </c>
      <c r="G82" s="24">
        <f t="shared" si="4"/>
        <v>8.2654299270015198E-11</v>
      </c>
      <c r="H82" s="25">
        <f t="shared" si="6"/>
        <v>1</v>
      </c>
      <c r="I82" s="26">
        <v>86371.690700000006</v>
      </c>
      <c r="J82" s="27">
        <v>4.2194669999999997E-2</v>
      </c>
      <c r="K82" s="28">
        <f t="shared" si="5"/>
        <v>0.25390805609077532</v>
      </c>
      <c r="L82" s="29">
        <f t="shared" si="7"/>
        <v>0</v>
      </c>
    </row>
    <row r="83" spans="2:12" x14ac:dyDescent="0.25">
      <c r="B83" s="43" t="s">
        <v>810</v>
      </c>
      <c r="C83" s="30">
        <v>66064.742495003899</v>
      </c>
      <c r="D83" s="31">
        <v>20.215940417999999</v>
      </c>
      <c r="E83" s="22">
        <v>66064.742499999993</v>
      </c>
      <c r="F83" s="23">
        <v>10.176298346999999</v>
      </c>
      <c r="G83" s="24">
        <f t="shared" si="4"/>
        <v>7.5624218225293004E-11</v>
      </c>
      <c r="H83" s="25">
        <f t="shared" si="6"/>
        <v>1</v>
      </c>
      <c r="I83" s="26">
        <v>78839.055200000003</v>
      </c>
      <c r="J83" s="27">
        <v>4.5100349999999997E-2</v>
      </c>
      <c r="K83" s="28">
        <f t="shared" si="5"/>
        <v>0.19336051610224853</v>
      </c>
      <c r="L83" s="29">
        <f t="shared" si="7"/>
        <v>0</v>
      </c>
    </row>
    <row r="84" spans="2:12" x14ac:dyDescent="0.25">
      <c r="B84" s="43" t="s">
        <v>811</v>
      </c>
      <c r="C84" s="30">
        <v>48301.795209755743</v>
      </c>
      <c r="D84" s="31">
        <v>2.7562517889999998</v>
      </c>
      <c r="E84" s="22">
        <v>48301.7952</v>
      </c>
      <c r="F84" s="23">
        <v>2.7608873790000001</v>
      </c>
      <c r="G84" s="24">
        <f t="shared" si="4"/>
        <v>-2.019747334426484E-10</v>
      </c>
      <c r="H84" s="25">
        <f t="shared" si="6"/>
        <v>1</v>
      </c>
      <c r="I84" s="26">
        <v>56743.506399999998</v>
      </c>
      <c r="J84" s="27">
        <v>2.8655394000000001E-2</v>
      </c>
      <c r="K84" s="28">
        <f t="shared" si="5"/>
        <v>0.17477013335809191</v>
      </c>
      <c r="L84" s="29">
        <f t="shared" si="7"/>
        <v>0</v>
      </c>
    </row>
    <row r="85" spans="2:12" x14ac:dyDescent="0.25">
      <c r="B85" s="43" t="s">
        <v>812</v>
      </c>
      <c r="C85" s="30">
        <v>54680.92210887088</v>
      </c>
      <c r="D85" s="31">
        <v>15.570562786</v>
      </c>
      <c r="E85" s="22">
        <v>54680.922100000003</v>
      </c>
      <c r="F85" s="23">
        <v>2.9695391569999998</v>
      </c>
      <c r="G85" s="24">
        <f t="shared" si="4"/>
        <v>-1.6222982870297587E-10</v>
      </c>
      <c r="H85" s="25">
        <f t="shared" si="6"/>
        <v>1</v>
      </c>
      <c r="I85" s="26">
        <v>55994.6224</v>
      </c>
      <c r="J85" s="27">
        <v>2.8103012E-2</v>
      </c>
      <c r="K85" s="28">
        <f t="shared" si="5"/>
        <v>2.4024837922694772E-2</v>
      </c>
      <c r="L85" s="29">
        <f t="shared" si="7"/>
        <v>0</v>
      </c>
    </row>
    <row r="86" spans="2:12" x14ac:dyDescent="0.25">
      <c r="B86" s="43" t="s">
        <v>813</v>
      </c>
      <c r="C86" s="30">
        <v>61473.949499365437</v>
      </c>
      <c r="D86" s="31">
        <v>7.6824142770000003</v>
      </c>
      <c r="E86" s="22">
        <v>61473.949500000002</v>
      </c>
      <c r="F86" s="23">
        <v>2.769057155</v>
      </c>
      <c r="G86" s="24">
        <f t="shared" si="4"/>
        <v>1.03225085183431E-11</v>
      </c>
      <c r="H86" s="25">
        <f t="shared" si="6"/>
        <v>1</v>
      </c>
      <c r="I86" s="26">
        <v>70205.382599999997</v>
      </c>
      <c r="J86" s="27">
        <v>3.3619426000000001E-2</v>
      </c>
      <c r="K86" s="28">
        <f t="shared" si="5"/>
        <v>0.14203468577734199</v>
      </c>
      <c r="L86" s="29">
        <f t="shared" si="7"/>
        <v>0</v>
      </c>
    </row>
    <row r="87" spans="2:12" x14ac:dyDescent="0.25">
      <c r="B87" s="43" t="s">
        <v>814</v>
      </c>
      <c r="C87" s="30">
        <v>58134.959655956838</v>
      </c>
      <c r="D87" s="31">
        <v>7.9960095349999998</v>
      </c>
      <c r="E87" s="22">
        <v>58134.959699999999</v>
      </c>
      <c r="F87" s="23">
        <v>2.6228266250000001</v>
      </c>
      <c r="G87" s="24">
        <f t="shared" si="4"/>
        <v>7.5760199344547849E-10</v>
      </c>
      <c r="H87" s="25">
        <f t="shared" si="6"/>
        <v>1</v>
      </c>
      <c r="I87" s="26">
        <v>63988.5815</v>
      </c>
      <c r="J87" s="27">
        <v>3.0497158E-2</v>
      </c>
      <c r="K87" s="28">
        <f t="shared" si="5"/>
        <v>0.10069021942536717</v>
      </c>
      <c r="L87" s="29">
        <f t="shared" si="7"/>
        <v>0</v>
      </c>
    </row>
    <row r="88" spans="2:12" x14ac:dyDescent="0.25">
      <c r="B88" s="43" t="s">
        <v>815</v>
      </c>
      <c r="C88" s="30">
        <v>50914.514536589559</v>
      </c>
      <c r="D88" s="31">
        <v>2.7873675590000002</v>
      </c>
      <c r="E88" s="22">
        <v>50914.514499999997</v>
      </c>
      <c r="F88" s="23">
        <v>2.8294121300000001</v>
      </c>
      <c r="G88" s="24">
        <f t="shared" si="4"/>
        <v>-7.1864696222521531E-10</v>
      </c>
      <c r="H88" s="25">
        <f t="shared" si="6"/>
        <v>1</v>
      </c>
      <c r="I88" s="26">
        <v>52049.2929</v>
      </c>
      <c r="J88" s="27">
        <v>3.1226804E-2</v>
      </c>
      <c r="K88" s="28">
        <f t="shared" si="5"/>
        <v>2.2287914826231658E-2</v>
      </c>
      <c r="L88" s="29">
        <f t="shared" si="7"/>
        <v>0</v>
      </c>
    </row>
    <row r="89" spans="2:12" x14ac:dyDescent="0.25">
      <c r="B89" s="43" t="s">
        <v>816</v>
      </c>
      <c r="C89" s="30">
        <v>68535.605421159009</v>
      </c>
      <c r="D89" s="31">
        <v>24.110872521000001</v>
      </c>
      <c r="E89" s="22">
        <v>68535.6054</v>
      </c>
      <c r="F89" s="23">
        <v>2.8971556430000001</v>
      </c>
      <c r="G89" s="24">
        <f t="shared" si="4"/>
        <v>-3.0873016267922541E-10</v>
      </c>
      <c r="H89" s="25">
        <f t="shared" si="6"/>
        <v>1</v>
      </c>
      <c r="I89" s="26">
        <v>84113.746100000004</v>
      </c>
      <c r="J89" s="27">
        <v>2.0105540000000002E-2</v>
      </c>
      <c r="K89" s="28">
        <f t="shared" si="5"/>
        <v>0.22729996449453635</v>
      </c>
      <c r="L89" s="29">
        <f t="shared" si="7"/>
        <v>0</v>
      </c>
    </row>
    <row r="90" spans="2:12" x14ac:dyDescent="0.25">
      <c r="B90" s="43" t="s">
        <v>817</v>
      </c>
      <c r="C90" s="30">
        <v>64301.847418244492</v>
      </c>
      <c r="D90" s="31">
        <v>2.8820446400000002</v>
      </c>
      <c r="E90" s="22">
        <v>64301.847399999999</v>
      </c>
      <c r="F90" s="23">
        <v>2.8617199360000001</v>
      </c>
      <c r="G90" s="24">
        <f t="shared" si="4"/>
        <v>-2.8373201632491281E-10</v>
      </c>
      <c r="H90" s="25">
        <f t="shared" si="6"/>
        <v>1</v>
      </c>
      <c r="I90" s="26">
        <v>68782.920400000003</v>
      </c>
      <c r="J90" s="27">
        <v>2.9605876999999999E-2</v>
      </c>
      <c r="K90" s="28">
        <f t="shared" si="5"/>
        <v>6.9688090804123415E-2</v>
      </c>
      <c r="L90" s="29">
        <f t="shared" si="7"/>
        <v>0</v>
      </c>
    </row>
    <row r="91" spans="2:12" x14ac:dyDescent="0.25">
      <c r="B91" s="43" t="s">
        <v>818</v>
      </c>
      <c r="C91" s="30">
        <v>65246.115186362098</v>
      </c>
      <c r="D91" s="31">
        <v>24.719116161999999</v>
      </c>
      <c r="E91" s="22">
        <v>65246.1152</v>
      </c>
      <c r="F91" s="23">
        <v>2.5921947570000001</v>
      </c>
      <c r="G91" s="24">
        <f t="shared" si="4"/>
        <v>2.0902243938909859E-10</v>
      </c>
      <c r="H91" s="25">
        <f t="shared" si="6"/>
        <v>1</v>
      </c>
      <c r="I91" s="26">
        <v>69991.236699999994</v>
      </c>
      <c r="J91" s="27">
        <v>3.1611348999999997E-2</v>
      </c>
      <c r="K91" s="28">
        <f t="shared" si="5"/>
        <v>7.2726498736122955E-2</v>
      </c>
      <c r="L91" s="29">
        <f t="shared" si="7"/>
        <v>0</v>
      </c>
    </row>
    <row r="92" spans="2:12" x14ac:dyDescent="0.25">
      <c r="B92" s="43" t="s">
        <v>819</v>
      </c>
      <c r="C92" s="30">
        <v>66413.738214769532</v>
      </c>
      <c r="D92" s="31">
        <v>5.4648572199999998</v>
      </c>
      <c r="E92" s="22">
        <v>66413.738200000007</v>
      </c>
      <c r="F92" s="23">
        <v>2.7966691849999998</v>
      </c>
      <c r="G92" s="24">
        <f t="shared" si="4"/>
        <v>-2.2238658695780662E-10</v>
      </c>
      <c r="H92" s="25">
        <f t="shared" si="6"/>
        <v>1</v>
      </c>
      <c r="I92" s="26">
        <v>74437.945000000007</v>
      </c>
      <c r="J92" s="27">
        <v>3.1360315999999999E-2</v>
      </c>
      <c r="K92" s="28">
        <f t="shared" si="5"/>
        <v>0.12082148966350457</v>
      </c>
      <c r="L92" s="29">
        <f t="shared" si="7"/>
        <v>0</v>
      </c>
    </row>
    <row r="93" spans="2:12" x14ac:dyDescent="0.25">
      <c r="B93" s="43" t="s">
        <v>820</v>
      </c>
      <c r="C93" s="30">
        <v>64100.32877059366</v>
      </c>
      <c r="D93" s="31">
        <v>15.757849093999999</v>
      </c>
      <c r="E93" s="22">
        <v>64100.328800000003</v>
      </c>
      <c r="F93" s="23">
        <v>2.7586302659999999</v>
      </c>
      <c r="G93" s="24">
        <f t="shared" si="4"/>
        <v>4.5875494729051859E-10</v>
      </c>
      <c r="H93" s="25">
        <f t="shared" si="6"/>
        <v>1</v>
      </c>
      <c r="I93" s="26">
        <v>70580.046100000007</v>
      </c>
      <c r="J93" s="27">
        <v>2.1691981999999999E-2</v>
      </c>
      <c r="K93" s="28">
        <f t="shared" si="5"/>
        <v>0.10108711536560712</v>
      </c>
      <c r="L93" s="29">
        <f t="shared" si="7"/>
        <v>0</v>
      </c>
    </row>
    <row r="94" spans="2:12" x14ac:dyDescent="0.25">
      <c r="B94" s="43" t="s">
        <v>821</v>
      </c>
      <c r="C94" s="30">
        <v>50031.578018174085</v>
      </c>
      <c r="D94" s="31">
        <v>2.7954421890000001</v>
      </c>
      <c r="E94" s="22">
        <v>50031.578000000001</v>
      </c>
      <c r="F94" s="23">
        <v>4.6288739400000001</v>
      </c>
      <c r="G94" s="24">
        <f t="shared" si="4"/>
        <v>-3.6325225186703417E-10</v>
      </c>
      <c r="H94" s="25">
        <f t="shared" si="6"/>
        <v>1</v>
      </c>
      <c r="I94" s="26">
        <v>54664.593500000003</v>
      </c>
      <c r="J94" s="27">
        <v>3.0165503999999999E-2</v>
      </c>
      <c r="K94" s="28">
        <f t="shared" si="5"/>
        <v>9.2601825993634757E-2</v>
      </c>
      <c r="L94" s="29">
        <f t="shared" si="7"/>
        <v>0</v>
      </c>
    </row>
    <row r="95" spans="2:12" x14ac:dyDescent="0.25">
      <c r="B95" s="43" t="s">
        <v>822</v>
      </c>
      <c r="C95" s="30">
        <v>60663.876167787472</v>
      </c>
      <c r="D95" s="31">
        <v>15.913740525</v>
      </c>
      <c r="E95" s="22">
        <v>60663.876199999999</v>
      </c>
      <c r="F95" s="23">
        <v>5.3196722579999998</v>
      </c>
      <c r="G95" s="24">
        <f t="shared" si="4"/>
        <v>5.3100014437000503E-10</v>
      </c>
      <c r="H95" s="25">
        <f t="shared" si="6"/>
        <v>1</v>
      </c>
      <c r="I95" s="26">
        <v>72093.760200000004</v>
      </c>
      <c r="J95" s="27">
        <v>3.1025145000000001E-2</v>
      </c>
      <c r="K95" s="28">
        <f t="shared" si="5"/>
        <v>0.18841334834258089</v>
      </c>
      <c r="L95" s="29">
        <f t="shared" si="7"/>
        <v>0</v>
      </c>
    </row>
    <row r="96" spans="2:12" x14ac:dyDescent="0.25">
      <c r="B96" s="43" t="s">
        <v>823</v>
      </c>
      <c r="C96" s="30">
        <v>46176.619308853697</v>
      </c>
      <c r="D96" s="31">
        <v>10.228349654000001</v>
      </c>
      <c r="E96" s="22">
        <v>46176.619299999998</v>
      </c>
      <c r="F96" s="23">
        <v>4.4266870120000004</v>
      </c>
      <c r="G96" s="24">
        <f t="shared" si="4"/>
        <v>-1.9173551948222061E-10</v>
      </c>
      <c r="H96" s="25">
        <f t="shared" si="6"/>
        <v>1</v>
      </c>
      <c r="I96" s="26">
        <v>52902.626100000001</v>
      </c>
      <c r="J96" s="27">
        <v>2.7654796999999998E-2</v>
      </c>
      <c r="K96" s="28">
        <f t="shared" si="5"/>
        <v>0.14565827667372544</v>
      </c>
      <c r="L96" s="29">
        <f t="shared" si="7"/>
        <v>0</v>
      </c>
    </row>
    <row r="97" spans="2:12" x14ac:dyDescent="0.25">
      <c r="B97" s="43" t="s">
        <v>824</v>
      </c>
      <c r="C97" s="30">
        <v>47192.473803669105</v>
      </c>
      <c r="D97" s="31">
        <v>13.854243623</v>
      </c>
      <c r="E97" s="22">
        <v>47192.4738</v>
      </c>
      <c r="F97" s="23">
        <v>5.2583608640000001</v>
      </c>
      <c r="G97" s="24">
        <f t="shared" si="4"/>
        <v>-7.7747680043844729E-11</v>
      </c>
      <c r="H97" s="25">
        <f t="shared" si="6"/>
        <v>1</v>
      </c>
      <c r="I97" s="26">
        <v>53262.628900000003</v>
      </c>
      <c r="J97" s="27">
        <v>2.8646947999999998E-2</v>
      </c>
      <c r="K97" s="28">
        <f t="shared" si="5"/>
        <v>0.12862549061496661</v>
      </c>
      <c r="L97" s="29">
        <f t="shared" si="7"/>
        <v>0</v>
      </c>
    </row>
    <row r="98" spans="2:12" x14ac:dyDescent="0.25">
      <c r="B98" s="43" t="s">
        <v>825</v>
      </c>
      <c r="C98" s="30">
        <v>69976.616600604073</v>
      </c>
      <c r="D98" s="31">
        <v>17.830573233999999</v>
      </c>
      <c r="E98" s="22">
        <v>69976.616599999994</v>
      </c>
      <c r="F98" s="23">
        <v>4.6690456969999996</v>
      </c>
      <c r="G98" s="24">
        <f t="shared" si="4"/>
        <v>-8.6325852021080711E-12</v>
      </c>
      <c r="H98" s="25">
        <f t="shared" si="6"/>
        <v>1</v>
      </c>
      <c r="I98" s="26">
        <v>76165.346000000005</v>
      </c>
      <c r="J98" s="27">
        <v>2.9014610999999999E-2</v>
      </c>
      <c r="K98" s="28">
        <f t="shared" si="5"/>
        <v>8.843996323398276E-2</v>
      </c>
      <c r="L98" s="29">
        <f t="shared" si="7"/>
        <v>0</v>
      </c>
    </row>
    <row r="99" spans="2:12" x14ac:dyDescent="0.25">
      <c r="B99" s="43" t="s">
        <v>826</v>
      </c>
      <c r="C99" s="30">
        <v>62715.422721535884</v>
      </c>
      <c r="D99" s="31">
        <v>25.118061619999999</v>
      </c>
      <c r="E99" s="22">
        <v>62715.422700000003</v>
      </c>
      <c r="F99" s="23">
        <v>5.0333232170000004</v>
      </c>
      <c r="G99" s="24">
        <f t="shared" si="4"/>
        <v>-3.4339051628747556E-10</v>
      </c>
      <c r="H99" s="25">
        <f t="shared" si="6"/>
        <v>1</v>
      </c>
      <c r="I99" s="26">
        <v>74595.2736</v>
      </c>
      <c r="J99" s="27">
        <v>3.0631110999999999E-2</v>
      </c>
      <c r="K99" s="28">
        <f t="shared" si="5"/>
        <v>0.18942471186413112</v>
      </c>
      <c r="L99" s="29">
        <f t="shared" si="7"/>
        <v>0</v>
      </c>
    </row>
    <row r="100" spans="2:12" x14ac:dyDescent="0.25">
      <c r="B100" s="43" t="s">
        <v>827</v>
      </c>
      <c r="C100" s="30">
        <v>53581.239756478746</v>
      </c>
      <c r="D100" s="31">
        <v>2.5494705209999999</v>
      </c>
      <c r="E100" s="22">
        <v>53581.239800000003</v>
      </c>
      <c r="F100" s="23">
        <v>4.5653831599999997</v>
      </c>
      <c r="G100" s="24">
        <f t="shared" si="4"/>
        <v>8.1224803834998315E-10</v>
      </c>
      <c r="H100" s="25">
        <f t="shared" si="6"/>
        <v>1</v>
      </c>
      <c r="I100" s="26">
        <v>68774.510299999994</v>
      </c>
      <c r="J100" s="27">
        <v>3.1204432000000001E-2</v>
      </c>
      <c r="K100" s="28">
        <f t="shared" si="5"/>
        <v>0.28355578580438057</v>
      </c>
      <c r="L100" s="29">
        <f t="shared" si="7"/>
        <v>0</v>
      </c>
    </row>
    <row r="101" spans="2:12" x14ac:dyDescent="0.25">
      <c r="B101" s="43" t="s">
        <v>828</v>
      </c>
      <c r="C101" s="30">
        <v>57076.034804745454</v>
      </c>
      <c r="D101" s="31">
        <v>16.225449374</v>
      </c>
      <c r="E101" s="22">
        <v>57076.034800000001</v>
      </c>
      <c r="F101" s="23">
        <v>4.7896315740000004</v>
      </c>
      <c r="G101" s="24">
        <f t="shared" si="4"/>
        <v>-8.3142641772164988E-11</v>
      </c>
      <c r="H101" s="25">
        <f t="shared" si="6"/>
        <v>1</v>
      </c>
      <c r="I101" s="26">
        <v>67290.774699999994</v>
      </c>
      <c r="J101" s="27">
        <v>2.7882616999999998E-2</v>
      </c>
      <c r="K101" s="28">
        <f t="shared" si="5"/>
        <v>0.17896723082110919</v>
      </c>
      <c r="L101" s="29">
        <f t="shared" si="7"/>
        <v>0</v>
      </c>
    </row>
    <row r="102" spans="2:12" x14ac:dyDescent="0.25">
      <c r="B102" s="43" t="s">
        <v>829</v>
      </c>
      <c r="C102" s="30">
        <v>51376.02628466444</v>
      </c>
      <c r="D102" s="31">
        <v>17.111857826000001</v>
      </c>
      <c r="E102" s="22">
        <v>51376.026299999998</v>
      </c>
      <c r="F102" s="23">
        <v>4.643084891</v>
      </c>
      <c r="G102" s="24">
        <f t="shared" si="4"/>
        <v>2.9849637662352371E-10</v>
      </c>
      <c r="H102" s="25">
        <f t="shared" si="6"/>
        <v>1</v>
      </c>
      <c r="I102" s="26">
        <v>60302.083400000003</v>
      </c>
      <c r="J102" s="27">
        <v>2.8604177000000001E-2</v>
      </c>
      <c r="K102" s="28">
        <f t="shared" si="5"/>
        <v>0.17373973350679242</v>
      </c>
      <c r="L102" s="29">
        <f t="shared" si="7"/>
        <v>0</v>
      </c>
    </row>
    <row r="103" spans="2:12" x14ac:dyDescent="0.25">
      <c r="B103" s="43" t="s">
        <v>830</v>
      </c>
      <c r="C103" s="30">
        <v>49592.21998008767</v>
      </c>
      <c r="D103" s="31">
        <v>14.630526740000001</v>
      </c>
      <c r="E103" s="22">
        <v>49592.22</v>
      </c>
      <c r="F103" s="23">
        <v>4.9186284230000004</v>
      </c>
      <c r="G103" s="24">
        <f t="shared" si="4"/>
        <v>4.0152127671355367E-10</v>
      </c>
      <c r="H103" s="25">
        <f t="shared" si="6"/>
        <v>1</v>
      </c>
      <c r="I103" s="26">
        <v>60122.729099999997</v>
      </c>
      <c r="J103" s="27">
        <v>5.8320153E-2</v>
      </c>
      <c r="K103" s="28">
        <f t="shared" si="5"/>
        <v>0.21234195856004329</v>
      </c>
      <c r="L103" s="29">
        <f t="shared" si="7"/>
        <v>0</v>
      </c>
    </row>
    <row r="104" spans="2:12" x14ac:dyDescent="0.25">
      <c r="B104" s="43" t="s">
        <v>831</v>
      </c>
      <c r="C104" s="30">
        <v>43525.853126374852</v>
      </c>
      <c r="D104" s="31">
        <v>16.512771378</v>
      </c>
      <c r="E104" s="22">
        <v>43525.8531</v>
      </c>
      <c r="F104" s="23">
        <v>6.8691281780000004</v>
      </c>
      <c r="G104" s="24">
        <f t="shared" si="4"/>
        <v>-6.0595829126471715E-10</v>
      </c>
      <c r="H104" s="25">
        <f t="shared" si="6"/>
        <v>1</v>
      </c>
      <c r="I104" s="26">
        <v>50308.173999999999</v>
      </c>
      <c r="J104" s="27">
        <v>3.7206059999999999E-2</v>
      </c>
      <c r="K104" s="28">
        <f t="shared" si="5"/>
        <v>0.15582281302868578</v>
      </c>
      <c r="L104" s="29">
        <f t="shared" si="7"/>
        <v>0</v>
      </c>
    </row>
    <row r="105" spans="2:12" x14ac:dyDescent="0.25">
      <c r="B105" s="43" t="s">
        <v>832</v>
      </c>
      <c r="C105" s="30">
        <v>56100.911866731309</v>
      </c>
      <c r="D105" s="31">
        <v>12.276594651</v>
      </c>
      <c r="E105" s="22">
        <v>56100.911899999999</v>
      </c>
      <c r="F105" s="23">
        <v>7.2583589899999996</v>
      </c>
      <c r="G105" s="24">
        <f t="shared" si="4"/>
        <v>5.9301514630509483E-10</v>
      </c>
      <c r="H105" s="25">
        <f t="shared" si="6"/>
        <v>1</v>
      </c>
      <c r="I105" s="26">
        <v>65285.718500000003</v>
      </c>
      <c r="J105" s="27">
        <v>3.3862806000000002E-2</v>
      </c>
      <c r="K105" s="28">
        <f t="shared" si="5"/>
        <v>0.16371938222835597</v>
      </c>
      <c r="L105" s="29">
        <f t="shared" si="7"/>
        <v>0</v>
      </c>
    </row>
    <row r="106" spans="2:12" x14ac:dyDescent="0.25">
      <c r="B106" s="43" t="s">
        <v>833</v>
      </c>
      <c r="C106" s="30">
        <v>67475.071213174218</v>
      </c>
      <c r="D106" s="31">
        <v>19.522631531999998</v>
      </c>
      <c r="E106" s="22">
        <v>67475.071200000006</v>
      </c>
      <c r="F106" s="23">
        <v>6.882596103</v>
      </c>
      <c r="G106" s="24">
        <f t="shared" si="4"/>
        <v>-1.9524562801126784E-10</v>
      </c>
      <c r="H106" s="25">
        <f t="shared" si="6"/>
        <v>1</v>
      </c>
      <c r="I106" s="26">
        <v>76952.802100000001</v>
      </c>
      <c r="J106" s="27">
        <v>3.7188538E-2</v>
      </c>
      <c r="K106" s="28">
        <f t="shared" si="5"/>
        <v>0.14046270298674832</v>
      </c>
      <c r="L106" s="29">
        <f t="shared" si="7"/>
        <v>0</v>
      </c>
    </row>
    <row r="107" spans="2:12" x14ac:dyDescent="0.25">
      <c r="B107" s="43" t="s">
        <v>834</v>
      </c>
      <c r="C107" s="30">
        <v>43691.611422182083</v>
      </c>
      <c r="D107" s="31">
        <v>5.2153772079999996</v>
      </c>
      <c r="E107" s="22">
        <v>43691.611400000002</v>
      </c>
      <c r="F107" s="23">
        <v>6.7289362580000001</v>
      </c>
      <c r="G107" s="24">
        <f t="shared" si="4"/>
        <v>-5.0769656437670753E-10</v>
      </c>
      <c r="H107" s="25">
        <f t="shared" si="6"/>
        <v>1</v>
      </c>
      <c r="I107" s="26">
        <v>52324.023099999999</v>
      </c>
      <c r="J107" s="27">
        <v>3.5339460000000003E-2</v>
      </c>
      <c r="K107" s="28">
        <f t="shared" si="5"/>
        <v>0.19757595100818987</v>
      </c>
      <c r="L107" s="29">
        <f t="shared" si="7"/>
        <v>0</v>
      </c>
    </row>
    <row r="108" spans="2:12" x14ac:dyDescent="0.25">
      <c r="B108" s="43" t="s">
        <v>835</v>
      </c>
      <c r="C108" s="30">
        <v>48791.638769963916</v>
      </c>
      <c r="D108" s="31">
        <v>14.952911255</v>
      </c>
      <c r="E108" s="22">
        <v>48791.638800000001</v>
      </c>
      <c r="F108" s="23">
        <v>6.9767700560000003</v>
      </c>
      <c r="G108" s="24">
        <f t="shared" si="4"/>
        <v>6.1559900653334857E-10</v>
      </c>
      <c r="H108" s="25">
        <f t="shared" si="6"/>
        <v>1</v>
      </c>
      <c r="I108" s="26">
        <v>53672.848100000003</v>
      </c>
      <c r="J108" s="27">
        <v>3.8237356E-2</v>
      </c>
      <c r="K108" s="28">
        <f t="shared" si="5"/>
        <v>0.10004192220411653</v>
      </c>
      <c r="L108" s="29">
        <f t="shared" si="7"/>
        <v>0</v>
      </c>
    </row>
    <row r="109" spans="2:12" x14ac:dyDescent="0.25">
      <c r="B109" s="43" t="s">
        <v>836</v>
      </c>
      <c r="C109" s="30">
        <v>61654.448724606955</v>
      </c>
      <c r="D109" s="31">
        <v>24.875888397000001</v>
      </c>
      <c r="E109" s="22">
        <v>61654.448700000001</v>
      </c>
      <c r="F109" s="23">
        <v>7.646896388</v>
      </c>
      <c r="G109" s="24">
        <f t="shared" si="4"/>
        <v>-3.9911076112334442E-10</v>
      </c>
      <c r="H109" s="25">
        <f t="shared" si="6"/>
        <v>1</v>
      </c>
      <c r="I109" s="26">
        <v>71378.001399999994</v>
      </c>
      <c r="J109" s="27">
        <v>3.7472784000000002E-2</v>
      </c>
      <c r="K109" s="28">
        <f t="shared" si="5"/>
        <v>0.15771047956045164</v>
      </c>
      <c r="L109" s="29">
        <f t="shared" si="7"/>
        <v>0</v>
      </c>
    </row>
    <row r="110" spans="2:12" x14ac:dyDescent="0.25">
      <c r="B110" s="43" t="s">
        <v>837</v>
      </c>
      <c r="C110" s="30">
        <v>54731.005654403896</v>
      </c>
      <c r="D110" s="31">
        <v>23.429406755999999</v>
      </c>
      <c r="E110" s="22">
        <v>54731.005700000002</v>
      </c>
      <c r="F110" s="23">
        <v>6.3226508700000004</v>
      </c>
      <c r="G110" s="24">
        <f t="shared" si="4"/>
        <v>8.3309460135855811E-10</v>
      </c>
      <c r="H110" s="25">
        <f t="shared" si="6"/>
        <v>1</v>
      </c>
      <c r="I110" s="26">
        <v>60796.288200000003</v>
      </c>
      <c r="J110" s="27">
        <v>4.2716643999999998E-2</v>
      </c>
      <c r="K110" s="28">
        <f t="shared" si="5"/>
        <v>0.11081986294743092</v>
      </c>
      <c r="L110" s="29">
        <f t="shared" si="7"/>
        <v>0</v>
      </c>
    </row>
    <row r="111" spans="2:12" x14ac:dyDescent="0.25">
      <c r="B111" s="43" t="s">
        <v>838</v>
      </c>
      <c r="C111" s="30">
        <v>50806.434076365476</v>
      </c>
      <c r="D111" s="31">
        <v>2.8316024990000002</v>
      </c>
      <c r="E111" s="22">
        <v>50806.434099999999</v>
      </c>
      <c r="F111" s="23">
        <v>6.9691893159999996</v>
      </c>
      <c r="G111" s="24">
        <f t="shared" si="4"/>
        <v>4.6518758207785665E-10</v>
      </c>
      <c r="H111" s="25">
        <f t="shared" si="6"/>
        <v>1</v>
      </c>
      <c r="I111" s="26">
        <v>64923.255400000002</v>
      </c>
      <c r="J111" s="27">
        <v>3.7498663000000002E-2</v>
      </c>
      <c r="K111" s="28">
        <f t="shared" si="5"/>
        <v>0.27785499179918821</v>
      </c>
      <c r="L111" s="29">
        <f t="shared" si="7"/>
        <v>0</v>
      </c>
    </row>
    <row r="112" spans="2:12" x14ac:dyDescent="0.25">
      <c r="B112" s="43" t="s">
        <v>839</v>
      </c>
      <c r="C112" s="30">
        <v>59694.033497679178</v>
      </c>
      <c r="D112" s="31">
        <v>30.349022637000001</v>
      </c>
      <c r="E112" s="22">
        <v>59694.033499999998</v>
      </c>
      <c r="F112" s="23">
        <v>7.4971029720000004</v>
      </c>
      <c r="G112" s="24">
        <f t="shared" si="4"/>
        <v>3.8878583673591631E-11</v>
      </c>
      <c r="H112" s="25">
        <f t="shared" si="6"/>
        <v>1</v>
      </c>
      <c r="I112" s="26">
        <v>68190.563299999994</v>
      </c>
      <c r="J112" s="27">
        <v>3.7103657999999998E-2</v>
      </c>
      <c r="K112" s="28">
        <f t="shared" si="5"/>
        <v>0.14233465732636663</v>
      </c>
      <c r="L112" s="29">
        <f t="shared" si="7"/>
        <v>0</v>
      </c>
    </row>
    <row r="113" spans="2:12" x14ac:dyDescent="0.25">
      <c r="B113" s="43" t="s">
        <v>840</v>
      </c>
      <c r="C113" s="30">
        <v>40637.738816024001</v>
      </c>
      <c r="D113" s="31">
        <v>2.7759653750000002</v>
      </c>
      <c r="E113" s="22">
        <v>40637.738799999999</v>
      </c>
      <c r="F113" s="23">
        <v>6.7982932749999998</v>
      </c>
      <c r="G113" s="24">
        <f t="shared" si="4"/>
        <v>-3.9431331544621264E-10</v>
      </c>
      <c r="H113" s="25">
        <f t="shared" si="6"/>
        <v>1</v>
      </c>
      <c r="I113" s="26">
        <v>46968.411699999997</v>
      </c>
      <c r="J113" s="27">
        <v>3.6197048000000002E-2</v>
      </c>
      <c r="K113" s="28">
        <f t="shared" si="5"/>
        <v>0.15578309887359501</v>
      </c>
      <c r="L113" s="29">
        <f t="shared" si="7"/>
        <v>0</v>
      </c>
    </row>
    <row r="114" spans="2:12" x14ac:dyDescent="0.25">
      <c r="B114" s="43" t="s">
        <v>841</v>
      </c>
      <c r="C114" s="30">
        <v>53992.085932400827</v>
      </c>
      <c r="D114" s="31">
        <v>31.671832296000002</v>
      </c>
      <c r="E114" s="22">
        <v>53992.085899999998</v>
      </c>
      <c r="F114" s="23">
        <v>9.5945763639999999</v>
      </c>
      <c r="G114" s="24">
        <f t="shared" si="4"/>
        <v>-6.0010329711581822E-10</v>
      </c>
      <c r="H114" s="25">
        <f t="shared" si="6"/>
        <v>1</v>
      </c>
      <c r="I114" s="26">
        <v>63453.097900000001</v>
      </c>
      <c r="J114" s="27">
        <v>4.5339931999999999E-2</v>
      </c>
      <c r="K114" s="28">
        <f t="shared" si="5"/>
        <v>0.17522960641758775</v>
      </c>
      <c r="L114" s="29">
        <f t="shared" si="7"/>
        <v>0</v>
      </c>
    </row>
    <row r="115" spans="2:12" x14ac:dyDescent="0.25">
      <c r="B115" s="43" t="s">
        <v>842</v>
      </c>
      <c r="C115" s="30">
        <v>41452.783145017507</v>
      </c>
      <c r="D115" s="31">
        <v>2.8818806289999999</v>
      </c>
      <c r="E115" s="22">
        <v>41452.783100000001</v>
      </c>
      <c r="F115" s="23">
        <v>9.0019582590000002</v>
      </c>
      <c r="G115" s="24">
        <f t="shared" si="4"/>
        <v>-1.08599479264698E-9</v>
      </c>
      <c r="H115" s="25">
        <f t="shared" si="6"/>
        <v>1</v>
      </c>
      <c r="I115" s="26">
        <v>51625.289100000002</v>
      </c>
      <c r="J115" s="27">
        <v>4.5357494999999998E-2</v>
      </c>
      <c r="K115" s="28">
        <f t="shared" si="5"/>
        <v>0.24539983043828983</v>
      </c>
      <c r="L115" s="29">
        <f t="shared" si="7"/>
        <v>0</v>
      </c>
    </row>
    <row r="116" spans="2:12" x14ac:dyDescent="0.25">
      <c r="B116" s="43" t="s">
        <v>843</v>
      </c>
      <c r="C116" s="30">
        <v>38105.76280287699</v>
      </c>
      <c r="D116" s="31">
        <v>12.526563661000001</v>
      </c>
      <c r="E116" s="22">
        <v>38105.762799999997</v>
      </c>
      <c r="F116" s="23">
        <v>10.035976005</v>
      </c>
      <c r="G116" s="24">
        <f t="shared" si="4"/>
        <v>-7.5500225282582958E-11</v>
      </c>
      <c r="H116" s="25">
        <f t="shared" si="6"/>
        <v>1</v>
      </c>
      <c r="I116" s="26">
        <v>42363.019500000002</v>
      </c>
      <c r="J116" s="27">
        <v>4.5101180999999997E-2</v>
      </c>
      <c r="K116" s="28">
        <f t="shared" si="5"/>
        <v>0.11172212242925074</v>
      </c>
      <c r="L116" s="29">
        <f t="shared" si="7"/>
        <v>0</v>
      </c>
    </row>
    <row r="117" spans="2:12" x14ac:dyDescent="0.25">
      <c r="B117" s="43" t="s">
        <v>844</v>
      </c>
      <c r="C117" s="30">
        <v>43821.814517683211</v>
      </c>
      <c r="D117" s="31">
        <v>19.691756377000001</v>
      </c>
      <c r="E117" s="22">
        <v>43821.8145</v>
      </c>
      <c r="F117" s="23">
        <v>9.8552253089999997</v>
      </c>
      <c r="G117" s="24">
        <f t="shared" si="4"/>
        <v>-4.0352530112568559E-10</v>
      </c>
      <c r="H117" s="25">
        <f t="shared" si="6"/>
        <v>1</v>
      </c>
      <c r="I117" s="26">
        <v>53520.341500000002</v>
      </c>
      <c r="J117" s="27">
        <v>4.4107407000000001E-2</v>
      </c>
      <c r="K117" s="28">
        <f t="shared" si="5"/>
        <v>0.22131732994313116</v>
      </c>
      <c r="L117" s="29">
        <f t="shared" si="7"/>
        <v>0</v>
      </c>
    </row>
    <row r="118" spans="2:12" x14ac:dyDescent="0.25">
      <c r="B118" s="43" t="s">
        <v>845</v>
      </c>
      <c r="C118" s="30">
        <v>39919.565081378903</v>
      </c>
      <c r="D118" s="31">
        <v>2.9040028520000001</v>
      </c>
      <c r="E118" s="22">
        <v>39919.5651</v>
      </c>
      <c r="F118" s="23">
        <v>9.4539782310000007</v>
      </c>
      <c r="G118" s="24">
        <f t="shared" si="4"/>
        <v>4.6646541237473624E-10</v>
      </c>
      <c r="H118" s="25">
        <f t="shared" si="6"/>
        <v>1</v>
      </c>
      <c r="I118" s="26">
        <v>50554.003199999999</v>
      </c>
      <c r="J118" s="27">
        <v>4.5764842999999999E-2</v>
      </c>
      <c r="K118" s="28">
        <f t="shared" si="5"/>
        <v>0.26639664277258607</v>
      </c>
      <c r="L118" s="29">
        <f t="shared" si="7"/>
        <v>0</v>
      </c>
    </row>
    <row r="119" spans="2:12" x14ac:dyDescent="0.25">
      <c r="B119" s="43" t="s">
        <v>846</v>
      </c>
      <c r="C119" s="30">
        <v>44705.377830387733</v>
      </c>
      <c r="D119" s="31">
        <v>7.462611849</v>
      </c>
      <c r="E119" s="22">
        <v>44705.377800000002</v>
      </c>
      <c r="F119" s="23">
        <v>9.1228504929999996</v>
      </c>
      <c r="G119" s="24">
        <f t="shared" si="4"/>
        <v>-6.7973324150638828E-10</v>
      </c>
      <c r="H119" s="25">
        <f t="shared" si="6"/>
        <v>1</v>
      </c>
      <c r="I119" s="26">
        <v>55763.7022</v>
      </c>
      <c r="J119" s="27">
        <v>4.2685516E-2</v>
      </c>
      <c r="K119" s="28">
        <f t="shared" si="5"/>
        <v>0.24736004718643839</v>
      </c>
      <c r="L119" s="29">
        <f t="shared" si="7"/>
        <v>0</v>
      </c>
    </row>
    <row r="120" spans="2:12" x14ac:dyDescent="0.25">
      <c r="B120" s="43" t="s">
        <v>847</v>
      </c>
      <c r="C120" s="30">
        <v>43745.078295641499</v>
      </c>
      <c r="D120" s="31">
        <v>2.9767030989999999</v>
      </c>
      <c r="E120" s="22">
        <v>43745.078300000001</v>
      </c>
      <c r="F120" s="23">
        <v>8.7597633130000006</v>
      </c>
      <c r="G120" s="24">
        <f t="shared" si="4"/>
        <v>9.9634119025987083E-11</v>
      </c>
      <c r="H120" s="25">
        <f t="shared" si="6"/>
        <v>1</v>
      </c>
      <c r="I120" s="26">
        <v>59015.968099999998</v>
      </c>
      <c r="J120" s="27">
        <v>4.4301713999999999E-2</v>
      </c>
      <c r="K120" s="28">
        <f t="shared" si="5"/>
        <v>0.34908818087268118</v>
      </c>
      <c r="L120" s="29">
        <f t="shared" si="7"/>
        <v>0</v>
      </c>
    </row>
    <row r="121" spans="2:12" x14ac:dyDescent="0.25">
      <c r="B121" s="43" t="s">
        <v>848</v>
      </c>
      <c r="C121" s="30">
        <v>38346.535461217907</v>
      </c>
      <c r="D121" s="31">
        <v>3.0178395230000001</v>
      </c>
      <c r="E121" s="22">
        <v>38346.535499999998</v>
      </c>
      <c r="F121" s="23">
        <v>9.2574823619999993</v>
      </c>
      <c r="G121" s="24">
        <f t="shared" si="4"/>
        <v>1.0113584064358217E-9</v>
      </c>
      <c r="H121" s="25">
        <f t="shared" si="6"/>
        <v>1</v>
      </c>
      <c r="I121" s="26">
        <v>53756.816200000001</v>
      </c>
      <c r="J121" s="27">
        <v>4.4335197E-2</v>
      </c>
      <c r="K121" s="28">
        <f t="shared" si="5"/>
        <v>0.40186891862414564</v>
      </c>
      <c r="L121" s="29">
        <f t="shared" si="7"/>
        <v>0</v>
      </c>
    </row>
    <row r="122" spans="2:12" x14ac:dyDescent="0.25">
      <c r="B122" s="43" t="s">
        <v>849</v>
      </c>
      <c r="C122" s="30">
        <v>51768.922103195582</v>
      </c>
      <c r="D122" s="31">
        <v>18.194864941999999</v>
      </c>
      <c r="E122" s="22">
        <v>51768.922100000003</v>
      </c>
      <c r="F122" s="23">
        <v>9.4138464400000004</v>
      </c>
      <c r="G122" s="24">
        <f t="shared" si="4"/>
        <v>-6.1727743720575978E-11</v>
      </c>
      <c r="H122" s="25">
        <f t="shared" si="6"/>
        <v>1</v>
      </c>
      <c r="I122" s="26">
        <v>66564.909799999994</v>
      </c>
      <c r="J122" s="27">
        <v>4.5035919000000001E-2</v>
      </c>
      <c r="K122" s="28">
        <f t="shared" si="5"/>
        <v>0.28580830150008257</v>
      </c>
      <c r="L122" s="29">
        <f t="shared" si="7"/>
        <v>0</v>
      </c>
    </row>
    <row r="123" spans="2:12" ht="15.75" thickBot="1" x14ac:dyDescent="0.3">
      <c r="B123" s="44" t="s">
        <v>850</v>
      </c>
      <c r="C123" s="45">
        <v>36670.851982741144</v>
      </c>
      <c r="D123" s="46">
        <v>3.2736301729999999</v>
      </c>
      <c r="E123" s="22">
        <v>36670.851999999999</v>
      </c>
      <c r="F123" s="23">
        <v>7.9079835469999997</v>
      </c>
      <c r="G123" s="24">
        <f t="shared" si="4"/>
        <v>4.7064233008038063E-10</v>
      </c>
      <c r="H123" s="25">
        <f t="shared" si="6"/>
        <v>1</v>
      </c>
      <c r="I123" s="26">
        <v>48880.797700000003</v>
      </c>
      <c r="J123" s="27">
        <v>4.7689184000000003E-2</v>
      </c>
      <c r="K123" s="28">
        <f t="shared" si="5"/>
        <v>0.33296051378913633</v>
      </c>
      <c r="L123" s="29">
        <f t="shared" si="7"/>
        <v>0</v>
      </c>
    </row>
    <row r="124" spans="2:12" ht="15.75" thickBot="1" x14ac:dyDescent="0.3">
      <c r="C124" s="48">
        <f>AVERAGE(C4:C123)</f>
        <v>69425.956150803089</v>
      </c>
      <c r="D124" s="47">
        <f>AVERAGE(D4:D123)</f>
        <v>11.304242710900001</v>
      </c>
      <c r="E124" s="35">
        <f>AVERAGE(E4:E123)</f>
        <v>69425.956151666629</v>
      </c>
      <c r="F124" s="35">
        <f>AVERAGE(F4:F123)</f>
        <v>6.1737327759416649</v>
      </c>
      <c r="G124" s="36">
        <f>AVERAGE(G4:G123)</f>
        <v>2.1074879403921971E-11</v>
      </c>
      <c r="H124" s="37">
        <f>SUM(H4:H123)</f>
        <v>120</v>
      </c>
      <c r="I124" s="38">
        <f>AVERAGE(I4:I123)</f>
        <v>80670.292086666654</v>
      </c>
      <c r="J124" s="38">
        <f>AVERAGE(J4:J123)</f>
        <v>3.6743267741666676E-2</v>
      </c>
      <c r="K124" s="39">
        <f>AVERAGE(K4:K123)</f>
        <v>0.16885673980155319</v>
      </c>
      <c r="L124" s="40">
        <f>SUM(L4:L123)</f>
        <v>1</v>
      </c>
    </row>
    <row r="125" spans="2:12" x14ac:dyDescent="0.25">
      <c r="F125" s="49"/>
    </row>
    <row r="128" spans="2:12" ht="15.75" thickBot="1" x14ac:dyDescent="0.3"/>
    <row r="129" spans="2:12" x14ac:dyDescent="0.25">
      <c r="B129" s="1" t="s">
        <v>730</v>
      </c>
      <c r="C129" s="2" t="s">
        <v>125</v>
      </c>
      <c r="D129" s="3"/>
      <c r="E129" s="4" t="s">
        <v>126</v>
      </c>
      <c r="F129" s="5"/>
      <c r="G129" s="5"/>
      <c r="H129" s="6"/>
      <c r="I129" s="7" t="s">
        <v>247</v>
      </c>
      <c r="J129" s="8"/>
      <c r="K129" s="8"/>
      <c r="L129" s="9"/>
    </row>
    <row r="130" spans="2:12" ht="15.75" thickBot="1" x14ac:dyDescent="0.3">
      <c r="B130" s="10"/>
      <c r="C130" s="41" t="s">
        <v>1</v>
      </c>
      <c r="D130" s="42" t="s">
        <v>2</v>
      </c>
      <c r="E130" s="13" t="s">
        <v>1</v>
      </c>
      <c r="F130" s="14" t="s">
        <v>2</v>
      </c>
      <c r="G130" s="14" t="s">
        <v>3</v>
      </c>
      <c r="H130" s="15" t="s">
        <v>4</v>
      </c>
      <c r="I130" s="16" t="s">
        <v>1</v>
      </c>
      <c r="J130" s="17" t="s">
        <v>2</v>
      </c>
      <c r="K130" s="17" t="s">
        <v>3</v>
      </c>
      <c r="L130" s="18" t="s">
        <v>4</v>
      </c>
    </row>
    <row r="131" spans="2:12" x14ac:dyDescent="0.25">
      <c r="B131" s="43" t="s">
        <v>851</v>
      </c>
      <c r="C131" s="30">
        <v>133691.60320324611</v>
      </c>
      <c r="D131" s="31">
        <v>34.379676371999999</v>
      </c>
      <c r="E131" s="22">
        <v>133691.60320000001</v>
      </c>
      <c r="F131" s="23">
        <v>4.7626753300000004</v>
      </c>
      <c r="G131" s="24">
        <f t="shared" ref="G131:G194" si="8">(E131-C131)/C131</f>
        <v>-2.4280475753266879E-11</v>
      </c>
      <c r="H131" s="25">
        <f>IF(G131&lt;0.000001,1,0)</f>
        <v>1</v>
      </c>
      <c r="I131" s="26">
        <v>154353.0472</v>
      </c>
      <c r="J131" s="27">
        <v>2.0365009E-2</v>
      </c>
      <c r="K131" s="28">
        <f t="shared" ref="K131:K194" si="9">(I131-C131)/C131</f>
        <v>0.1545455623367992</v>
      </c>
      <c r="L131" s="29">
        <f>IF(K131&lt;0.000001,1,0)</f>
        <v>0</v>
      </c>
    </row>
    <row r="132" spans="2:12" x14ac:dyDescent="0.25">
      <c r="B132" s="43" t="s">
        <v>852</v>
      </c>
      <c r="C132" s="30">
        <v>184243.61395616372</v>
      </c>
      <c r="D132" s="31">
        <v>173.61005640600001</v>
      </c>
      <c r="E132" s="22">
        <v>184243.614</v>
      </c>
      <c r="F132" s="23">
        <v>3.7610618069999999</v>
      </c>
      <c r="G132" s="24">
        <f t="shared" si="8"/>
        <v>2.3792562360317926E-10</v>
      </c>
      <c r="H132" s="25">
        <f t="shared" ref="H132:H195" si="10">IF(G132&lt;0.000001,1,0)</f>
        <v>1</v>
      </c>
      <c r="I132" s="26">
        <v>205438.50200000001</v>
      </c>
      <c r="J132" s="27">
        <v>3.2682207999999997E-2</v>
      </c>
      <c r="K132" s="28">
        <f t="shared" si="9"/>
        <v>0.115037300825412</v>
      </c>
      <c r="L132" s="29">
        <f t="shared" ref="L132:L195" si="11">IF(K132&lt;0.000001,1,0)</f>
        <v>0</v>
      </c>
    </row>
    <row r="133" spans="2:12" x14ac:dyDescent="0.25">
      <c r="B133" s="43" t="s">
        <v>853</v>
      </c>
      <c r="C133" s="30">
        <v>152493.72505420214</v>
      </c>
      <c r="D133" s="31">
        <v>208.932798523</v>
      </c>
      <c r="E133" s="22">
        <v>152493.72510000001</v>
      </c>
      <c r="F133" s="23">
        <v>3.824132987</v>
      </c>
      <c r="G133" s="24">
        <f t="shared" si="8"/>
        <v>3.0032629147152908E-10</v>
      </c>
      <c r="H133" s="25">
        <f t="shared" si="10"/>
        <v>1</v>
      </c>
      <c r="I133" s="26">
        <v>158378.16529999999</v>
      </c>
      <c r="J133" s="27">
        <v>1.9003861E-2</v>
      </c>
      <c r="K133" s="28">
        <f t="shared" si="9"/>
        <v>3.8588081206005695E-2</v>
      </c>
      <c r="L133" s="29">
        <f t="shared" si="11"/>
        <v>0</v>
      </c>
    </row>
    <row r="134" spans="2:12" x14ac:dyDescent="0.25">
      <c r="B134" s="43" t="s">
        <v>854</v>
      </c>
      <c r="C134" s="30">
        <v>179597.00971276258</v>
      </c>
      <c r="D134" s="31">
        <v>103.009361133</v>
      </c>
      <c r="E134" s="22">
        <v>179597.0097</v>
      </c>
      <c r="F134" s="23">
        <v>3.835495184</v>
      </c>
      <c r="G134" s="24">
        <f t="shared" si="8"/>
        <v>-7.1062333657270626E-11</v>
      </c>
      <c r="H134" s="25">
        <f t="shared" si="10"/>
        <v>1</v>
      </c>
      <c r="I134" s="26">
        <v>193694.18580000001</v>
      </c>
      <c r="J134" s="27">
        <v>1.9388076000000001E-2</v>
      </c>
      <c r="K134" s="28">
        <f t="shared" si="9"/>
        <v>7.8493378646914358E-2</v>
      </c>
      <c r="L134" s="29">
        <f t="shared" si="11"/>
        <v>0</v>
      </c>
    </row>
    <row r="135" spans="2:12" x14ac:dyDescent="0.25">
      <c r="B135" s="43" t="s">
        <v>855</v>
      </c>
      <c r="C135" s="30">
        <v>157110.62956399727</v>
      </c>
      <c r="D135" s="31">
        <v>58.190837113999997</v>
      </c>
      <c r="E135" s="22">
        <v>157110.62959999999</v>
      </c>
      <c r="F135" s="23">
        <v>4.093210805</v>
      </c>
      <c r="G135" s="24">
        <f t="shared" si="8"/>
        <v>2.2915520702470599E-10</v>
      </c>
      <c r="H135" s="25">
        <f t="shared" si="10"/>
        <v>1</v>
      </c>
      <c r="I135" s="26">
        <v>157110.62959999999</v>
      </c>
      <c r="J135" s="27">
        <v>1.9817607000000001E-2</v>
      </c>
      <c r="K135" s="28">
        <f t="shared" si="9"/>
        <v>2.2915520702470599E-10</v>
      </c>
      <c r="L135" s="29">
        <f t="shared" si="11"/>
        <v>1</v>
      </c>
    </row>
    <row r="136" spans="2:12" x14ac:dyDescent="0.25">
      <c r="B136" s="43" t="s">
        <v>856</v>
      </c>
      <c r="C136" s="30">
        <v>140312.41597304348</v>
      </c>
      <c r="D136" s="31">
        <v>46.175591894</v>
      </c>
      <c r="E136" s="22">
        <v>140312.416</v>
      </c>
      <c r="F136" s="23">
        <v>4.6153659039999999</v>
      </c>
      <c r="G136" s="24">
        <f t="shared" si="8"/>
        <v>1.9211785753146936E-10</v>
      </c>
      <c r="H136" s="25">
        <f t="shared" si="10"/>
        <v>1</v>
      </c>
      <c r="I136" s="26">
        <v>165279.9135</v>
      </c>
      <c r="J136" s="27">
        <v>3.0399624E-2</v>
      </c>
      <c r="K136" s="28">
        <f t="shared" si="9"/>
        <v>0.17794218247765914</v>
      </c>
      <c r="L136" s="29">
        <f t="shared" si="11"/>
        <v>0</v>
      </c>
    </row>
    <row r="137" spans="2:12" x14ac:dyDescent="0.25">
      <c r="B137" s="43" t="s">
        <v>857</v>
      </c>
      <c r="C137" s="30">
        <v>170050.10469661292</v>
      </c>
      <c r="D137" s="31">
        <v>155.16178766100001</v>
      </c>
      <c r="E137" s="22">
        <v>170050.1047</v>
      </c>
      <c r="F137" s="23">
        <v>5.3042409939999997</v>
      </c>
      <c r="G137" s="24">
        <f t="shared" si="8"/>
        <v>1.9918098202686235E-11</v>
      </c>
      <c r="H137" s="25">
        <f t="shared" si="10"/>
        <v>1</v>
      </c>
      <c r="I137" s="26">
        <v>206584.39929999999</v>
      </c>
      <c r="J137" s="27">
        <v>1.8863247E-2</v>
      </c>
      <c r="K137" s="28">
        <f t="shared" si="9"/>
        <v>0.21484429350142448</v>
      </c>
      <c r="L137" s="29">
        <f t="shared" si="11"/>
        <v>0</v>
      </c>
    </row>
    <row r="138" spans="2:12" x14ac:dyDescent="0.25">
      <c r="B138" s="43" t="s">
        <v>858</v>
      </c>
      <c r="C138" s="30">
        <v>163603.60904014332</v>
      </c>
      <c r="D138" s="31">
        <v>29.305116393999999</v>
      </c>
      <c r="E138" s="22">
        <v>163603.609</v>
      </c>
      <c r="F138" s="23">
        <v>3.5435399150000002</v>
      </c>
      <c r="G138" s="24">
        <f t="shared" si="8"/>
        <v>-2.4536940864641468E-10</v>
      </c>
      <c r="H138" s="25">
        <f t="shared" si="10"/>
        <v>1</v>
      </c>
      <c r="I138" s="26">
        <v>174518.78030000001</v>
      </c>
      <c r="J138" s="27">
        <v>2.0731339000000001E-2</v>
      </c>
      <c r="K138" s="28">
        <f t="shared" si="9"/>
        <v>6.671717894180712E-2</v>
      </c>
      <c r="L138" s="29">
        <f t="shared" si="11"/>
        <v>0</v>
      </c>
    </row>
    <row r="139" spans="2:12" x14ac:dyDescent="0.25">
      <c r="B139" s="43" t="s">
        <v>859</v>
      </c>
      <c r="C139" s="30">
        <v>155538.623286474</v>
      </c>
      <c r="D139" s="31">
        <v>81.949033782000001</v>
      </c>
      <c r="E139" s="22">
        <v>155538.62330000001</v>
      </c>
      <c r="F139" s="23">
        <v>3.8790890149999999</v>
      </c>
      <c r="G139" s="24">
        <f t="shared" si="8"/>
        <v>8.6962356480772848E-11</v>
      </c>
      <c r="H139" s="25">
        <f t="shared" si="10"/>
        <v>1</v>
      </c>
      <c r="I139" s="26">
        <v>174143.25779999999</v>
      </c>
      <c r="J139" s="27">
        <v>1.9175666000000001E-2</v>
      </c>
      <c r="K139" s="28">
        <f t="shared" si="9"/>
        <v>0.11961424191893238</v>
      </c>
      <c r="L139" s="29">
        <f t="shared" si="11"/>
        <v>0</v>
      </c>
    </row>
    <row r="140" spans="2:12" x14ac:dyDescent="0.25">
      <c r="B140" s="43" t="s">
        <v>860</v>
      </c>
      <c r="C140" s="30">
        <v>143064.65217773319</v>
      </c>
      <c r="D140" s="31">
        <v>30.494014713999999</v>
      </c>
      <c r="E140" s="22">
        <v>143064.65220000001</v>
      </c>
      <c r="F140" s="23">
        <v>3.8863886160000001</v>
      </c>
      <c r="G140" s="24">
        <f t="shared" si="8"/>
        <v>1.5564163806050464E-10</v>
      </c>
      <c r="H140" s="25">
        <f t="shared" si="10"/>
        <v>1</v>
      </c>
      <c r="I140" s="26">
        <v>163259.5344</v>
      </c>
      <c r="J140" s="27">
        <v>2.0193864999999998E-2</v>
      </c>
      <c r="K140" s="28">
        <f t="shared" si="9"/>
        <v>0.14115913270580735</v>
      </c>
      <c r="L140" s="29">
        <f t="shared" si="11"/>
        <v>0</v>
      </c>
    </row>
    <row r="141" spans="2:12" x14ac:dyDescent="0.25">
      <c r="B141" s="43" t="s">
        <v>861</v>
      </c>
      <c r="C141" s="30">
        <v>113531.66989647718</v>
      </c>
      <c r="D141" s="31">
        <v>34.710322994999999</v>
      </c>
      <c r="E141" s="22">
        <v>113531.66989999999</v>
      </c>
      <c r="F141" s="23">
        <v>5.3087450909999996</v>
      </c>
      <c r="G141" s="24">
        <f t="shared" si="8"/>
        <v>3.1029359060662673E-11</v>
      </c>
      <c r="H141" s="25">
        <f t="shared" si="10"/>
        <v>1</v>
      </c>
      <c r="I141" s="26">
        <v>138402.27420000001</v>
      </c>
      <c r="J141" s="27">
        <v>2.8631108999999998E-2</v>
      </c>
      <c r="K141" s="28">
        <f t="shared" si="9"/>
        <v>0.21906314181937842</v>
      </c>
      <c r="L141" s="29">
        <f t="shared" si="11"/>
        <v>0</v>
      </c>
    </row>
    <row r="142" spans="2:12" x14ac:dyDescent="0.25">
      <c r="B142" s="43" t="s">
        <v>862</v>
      </c>
      <c r="C142" s="30">
        <v>113330.37177823848</v>
      </c>
      <c r="D142" s="31">
        <v>19.471769203000001</v>
      </c>
      <c r="E142" s="22">
        <v>113330.37179999999</v>
      </c>
      <c r="F142" s="23">
        <v>5.1607777060000002</v>
      </c>
      <c r="G142" s="24">
        <f t="shared" si="8"/>
        <v>1.9201839513675308E-10</v>
      </c>
      <c r="H142" s="25">
        <f t="shared" si="10"/>
        <v>1</v>
      </c>
      <c r="I142" s="26">
        <v>157471.50719999999</v>
      </c>
      <c r="J142" s="27">
        <v>2.8576865E-2</v>
      </c>
      <c r="K142" s="28">
        <f t="shared" si="9"/>
        <v>0.38949078458981484</v>
      </c>
      <c r="L142" s="29">
        <f t="shared" si="11"/>
        <v>0</v>
      </c>
    </row>
    <row r="143" spans="2:12" x14ac:dyDescent="0.25">
      <c r="B143" s="43" t="s">
        <v>863</v>
      </c>
      <c r="C143" s="30">
        <v>111629.07265409769</v>
      </c>
      <c r="D143" s="31">
        <v>83.117330253999995</v>
      </c>
      <c r="E143" s="22">
        <v>111629.0727</v>
      </c>
      <c r="F143" s="23">
        <v>6.3635516269999997</v>
      </c>
      <c r="G143" s="24">
        <f t="shared" si="8"/>
        <v>4.1120393569906206E-10</v>
      </c>
      <c r="H143" s="25">
        <f t="shared" si="10"/>
        <v>1</v>
      </c>
      <c r="I143" s="26">
        <v>120182.9329</v>
      </c>
      <c r="J143" s="27">
        <v>4.4305482E-2</v>
      </c>
      <c r="K143" s="28">
        <f t="shared" si="9"/>
        <v>7.6627531184532457E-2</v>
      </c>
      <c r="L143" s="29">
        <f t="shared" si="11"/>
        <v>0</v>
      </c>
    </row>
    <row r="144" spans="2:12" x14ac:dyDescent="0.25">
      <c r="B144" s="43" t="s">
        <v>864</v>
      </c>
      <c r="C144" s="30">
        <v>119614.77771650691</v>
      </c>
      <c r="D144" s="31">
        <v>135.748775131</v>
      </c>
      <c r="E144" s="22">
        <v>119614.77770000001</v>
      </c>
      <c r="F144" s="23">
        <v>4.9271893860000002</v>
      </c>
      <c r="G144" s="24">
        <f t="shared" si="8"/>
        <v>-1.3800056436805185E-10</v>
      </c>
      <c r="H144" s="25">
        <f t="shared" si="10"/>
        <v>1</v>
      </c>
      <c r="I144" s="26">
        <v>153969.58919999999</v>
      </c>
      <c r="J144" s="27">
        <v>6.1124721999999999E-2</v>
      </c>
      <c r="K144" s="28">
        <f t="shared" si="9"/>
        <v>0.28721209987043339</v>
      </c>
      <c r="L144" s="29">
        <f t="shared" si="11"/>
        <v>0</v>
      </c>
    </row>
    <row r="145" spans="2:12" x14ac:dyDescent="0.25">
      <c r="B145" s="43" t="s">
        <v>865</v>
      </c>
      <c r="C145" s="30">
        <v>119365.86078847839</v>
      </c>
      <c r="D145" s="31">
        <v>103.683194177</v>
      </c>
      <c r="E145" s="22">
        <v>119365.86079999999</v>
      </c>
      <c r="F145" s="23">
        <v>5.6869149099999996</v>
      </c>
      <c r="G145" s="24">
        <f t="shared" si="8"/>
        <v>9.6523493176271865E-11</v>
      </c>
      <c r="H145" s="25">
        <f t="shared" si="10"/>
        <v>1</v>
      </c>
      <c r="I145" s="26">
        <v>140171.1556</v>
      </c>
      <c r="J145" s="27">
        <v>5.1238315999999999E-2</v>
      </c>
      <c r="K145" s="28">
        <f t="shared" si="9"/>
        <v>0.17429853623214364</v>
      </c>
      <c r="L145" s="29">
        <f t="shared" si="11"/>
        <v>0</v>
      </c>
    </row>
    <row r="146" spans="2:12" x14ac:dyDescent="0.25">
      <c r="B146" s="43" t="s">
        <v>866</v>
      </c>
      <c r="C146" s="30">
        <v>154031.56572221377</v>
      </c>
      <c r="D146" s="31">
        <v>74.408074271000004</v>
      </c>
      <c r="E146" s="22">
        <v>154031.56570000001</v>
      </c>
      <c r="F146" s="23">
        <v>6.4582676189999999</v>
      </c>
      <c r="G146" s="24">
        <f t="shared" si="8"/>
        <v>-1.4421563805069169E-10</v>
      </c>
      <c r="H146" s="25">
        <f t="shared" si="10"/>
        <v>1</v>
      </c>
      <c r="I146" s="26">
        <v>169677.74739999999</v>
      </c>
      <c r="J146" s="27">
        <v>2.7441765E-2</v>
      </c>
      <c r="K146" s="28">
        <f t="shared" si="9"/>
        <v>0.10157776170374798</v>
      </c>
      <c r="L146" s="29">
        <f t="shared" si="11"/>
        <v>0</v>
      </c>
    </row>
    <row r="147" spans="2:12" x14ac:dyDescent="0.25">
      <c r="B147" s="43" t="s">
        <v>867</v>
      </c>
      <c r="C147" s="30">
        <v>125555.73302509794</v>
      </c>
      <c r="D147" s="31">
        <v>97.272749328000003</v>
      </c>
      <c r="E147" s="22">
        <v>125555.73299999999</v>
      </c>
      <c r="F147" s="23">
        <v>5.5912258010000002</v>
      </c>
      <c r="G147" s="24">
        <f t="shared" si="8"/>
        <v>-1.998948954710134E-10</v>
      </c>
      <c r="H147" s="25">
        <f t="shared" si="10"/>
        <v>1</v>
      </c>
      <c r="I147" s="26">
        <v>143544.22500000001</v>
      </c>
      <c r="J147" s="27">
        <v>2.7242189E-2</v>
      </c>
      <c r="K147" s="28">
        <f t="shared" si="9"/>
        <v>0.1432709725115161</v>
      </c>
      <c r="L147" s="29">
        <f t="shared" si="11"/>
        <v>0</v>
      </c>
    </row>
    <row r="148" spans="2:12" x14ac:dyDescent="0.25">
      <c r="B148" s="43" t="s">
        <v>868</v>
      </c>
      <c r="C148" s="30">
        <v>188209.476447667</v>
      </c>
      <c r="D148" s="31">
        <v>134.66960581699999</v>
      </c>
      <c r="E148" s="22">
        <v>188209.47640000001</v>
      </c>
      <c r="F148" s="23">
        <v>5.6686827910000002</v>
      </c>
      <c r="G148" s="24">
        <f t="shared" si="8"/>
        <v>-2.5326557417555977E-10</v>
      </c>
      <c r="H148" s="25">
        <f t="shared" si="10"/>
        <v>1</v>
      </c>
      <c r="I148" s="26">
        <v>206737.89309999999</v>
      </c>
      <c r="J148" s="27">
        <v>4.2387772999999997E-2</v>
      </c>
      <c r="K148" s="28">
        <f t="shared" si="9"/>
        <v>9.8445715922731186E-2</v>
      </c>
      <c r="L148" s="29">
        <f t="shared" si="11"/>
        <v>0</v>
      </c>
    </row>
    <row r="149" spans="2:12" x14ac:dyDescent="0.25">
      <c r="B149" s="43" t="s">
        <v>869</v>
      </c>
      <c r="C149" s="30">
        <v>145192.66340615222</v>
      </c>
      <c r="D149" s="31">
        <v>74.569072519000002</v>
      </c>
      <c r="E149" s="22">
        <v>145192.66339999999</v>
      </c>
      <c r="F149" s="23">
        <v>4.7842019029999996</v>
      </c>
      <c r="G149" s="24">
        <f t="shared" si="8"/>
        <v>-4.2372868381156741E-11</v>
      </c>
      <c r="H149" s="25">
        <f t="shared" si="10"/>
        <v>1</v>
      </c>
      <c r="I149" s="26">
        <v>161905.35879999999</v>
      </c>
      <c r="J149" s="27">
        <v>3.8476848000000001E-2</v>
      </c>
      <c r="K149" s="28">
        <f t="shared" si="9"/>
        <v>0.11510702401743808</v>
      </c>
      <c r="L149" s="29">
        <f t="shared" si="11"/>
        <v>0</v>
      </c>
    </row>
    <row r="150" spans="2:12" x14ac:dyDescent="0.25">
      <c r="B150" s="43" t="s">
        <v>870</v>
      </c>
      <c r="C150" s="30">
        <v>127370.67577145671</v>
      </c>
      <c r="D150" s="31">
        <v>113.91787979999999</v>
      </c>
      <c r="E150" s="22">
        <v>127370.6758</v>
      </c>
      <c r="F150" s="23">
        <v>6.037242247</v>
      </c>
      <c r="G150" s="24">
        <f t="shared" si="8"/>
        <v>2.2409624907190338E-10</v>
      </c>
      <c r="H150" s="25">
        <f t="shared" si="10"/>
        <v>1</v>
      </c>
      <c r="I150" s="26">
        <v>141121.64069999999</v>
      </c>
      <c r="J150" s="27">
        <v>3.9312253999999998E-2</v>
      </c>
      <c r="K150" s="28">
        <f t="shared" si="9"/>
        <v>0.10796021019168388</v>
      </c>
      <c r="L150" s="29">
        <f t="shared" si="11"/>
        <v>0</v>
      </c>
    </row>
    <row r="151" spans="2:12" x14ac:dyDescent="0.25">
      <c r="B151" s="43" t="s">
        <v>871</v>
      </c>
      <c r="C151" s="30">
        <v>102638.45846233313</v>
      </c>
      <c r="D151" s="31">
        <v>119.658172407</v>
      </c>
      <c r="E151" s="22">
        <v>102638.45849999999</v>
      </c>
      <c r="F151" s="23">
        <v>8.7315134929999996</v>
      </c>
      <c r="G151" s="24">
        <f t="shared" si="8"/>
        <v>3.6698584411167574E-10</v>
      </c>
      <c r="H151" s="25">
        <f t="shared" si="10"/>
        <v>1</v>
      </c>
      <c r="I151" s="26">
        <v>108229.798</v>
      </c>
      <c r="J151" s="27">
        <v>3.4799112E-2</v>
      </c>
      <c r="K151" s="28">
        <f t="shared" si="9"/>
        <v>5.4476066977553118E-2</v>
      </c>
      <c r="L151" s="29">
        <f t="shared" si="11"/>
        <v>0</v>
      </c>
    </row>
    <row r="152" spans="2:12" x14ac:dyDescent="0.25">
      <c r="B152" s="43" t="s">
        <v>872</v>
      </c>
      <c r="C152" s="30">
        <v>120391.13180038448</v>
      </c>
      <c r="D152" s="31">
        <v>127.663675263</v>
      </c>
      <c r="E152" s="22">
        <v>120391.1318</v>
      </c>
      <c r="F152" s="23">
        <v>6.731465129</v>
      </c>
      <c r="G152" s="24">
        <f t="shared" si="8"/>
        <v>-3.1935587488799797E-12</v>
      </c>
      <c r="H152" s="25">
        <f t="shared" si="10"/>
        <v>1</v>
      </c>
      <c r="I152" s="26">
        <v>141087.8535</v>
      </c>
      <c r="J152" s="27">
        <v>3.4376875000000001E-2</v>
      </c>
      <c r="K152" s="28">
        <f t="shared" si="9"/>
        <v>0.17191234429070648</v>
      </c>
      <c r="L152" s="29">
        <f t="shared" si="11"/>
        <v>0</v>
      </c>
    </row>
    <row r="153" spans="2:12" x14ac:dyDescent="0.25">
      <c r="B153" s="43" t="s">
        <v>873</v>
      </c>
      <c r="C153" s="30">
        <v>116391.9490390569</v>
      </c>
      <c r="D153" s="31">
        <v>131.77689073499999</v>
      </c>
      <c r="E153" s="22">
        <v>116391.94899999999</v>
      </c>
      <c r="F153" s="23">
        <v>7.9182990090000001</v>
      </c>
      <c r="G153" s="24">
        <f t="shared" si="8"/>
        <v>-3.3556362134956349E-10</v>
      </c>
      <c r="H153" s="25">
        <f t="shared" si="10"/>
        <v>1</v>
      </c>
      <c r="I153" s="26">
        <v>129168.45540000001</v>
      </c>
      <c r="J153" s="27">
        <v>4.3780410999999998E-2</v>
      </c>
      <c r="K153" s="28">
        <f t="shared" si="9"/>
        <v>0.10977139283625004</v>
      </c>
      <c r="L153" s="29">
        <f t="shared" si="11"/>
        <v>0</v>
      </c>
    </row>
    <row r="154" spans="2:12" x14ac:dyDescent="0.25">
      <c r="B154" s="43" t="s">
        <v>874</v>
      </c>
      <c r="C154" s="30">
        <v>113639.42434776294</v>
      </c>
      <c r="D154" s="31">
        <v>135.861774118</v>
      </c>
      <c r="E154" s="22">
        <v>113639.4243</v>
      </c>
      <c r="F154" s="23">
        <v>7.7519911510000004</v>
      </c>
      <c r="G154" s="24">
        <f t="shared" si="8"/>
        <v>-4.2030252019448892E-10</v>
      </c>
      <c r="H154" s="25">
        <f t="shared" si="10"/>
        <v>1</v>
      </c>
      <c r="I154" s="26">
        <v>133960.52669999999</v>
      </c>
      <c r="J154" s="27">
        <v>3.7221780000000003E-2</v>
      </c>
      <c r="K154" s="28">
        <f t="shared" si="9"/>
        <v>0.178820884291439</v>
      </c>
      <c r="L154" s="29">
        <f t="shared" si="11"/>
        <v>0</v>
      </c>
    </row>
    <row r="155" spans="2:12" x14ac:dyDescent="0.25">
      <c r="B155" s="43" t="s">
        <v>875</v>
      </c>
      <c r="C155" s="30">
        <v>136252.30230551824</v>
      </c>
      <c r="D155" s="31">
        <v>112.65836149099999</v>
      </c>
      <c r="E155" s="22">
        <v>136252.30230000001</v>
      </c>
      <c r="F155" s="23">
        <v>6.8780982660000003</v>
      </c>
      <c r="G155" s="24">
        <f t="shared" si="8"/>
        <v>-4.050009930383029E-11</v>
      </c>
      <c r="H155" s="25">
        <f t="shared" si="10"/>
        <v>1</v>
      </c>
      <c r="I155" s="26">
        <v>161220.20540000001</v>
      </c>
      <c r="J155" s="27">
        <v>3.6425708000000001E-2</v>
      </c>
      <c r="K155" s="28">
        <f t="shared" si="9"/>
        <v>0.18324756845940326</v>
      </c>
      <c r="L155" s="29">
        <f t="shared" si="11"/>
        <v>0</v>
      </c>
    </row>
    <row r="156" spans="2:12" x14ac:dyDescent="0.25">
      <c r="B156" s="43" t="s">
        <v>876</v>
      </c>
      <c r="C156" s="30">
        <v>130559.98679214199</v>
      </c>
      <c r="D156" s="31">
        <v>102.133715186</v>
      </c>
      <c r="E156" s="22">
        <v>130559.9868</v>
      </c>
      <c r="F156" s="23">
        <v>8.5457303289999995</v>
      </c>
      <c r="G156" s="24">
        <f t="shared" si="8"/>
        <v>6.0186932555362304E-11</v>
      </c>
      <c r="H156" s="25">
        <f t="shared" si="10"/>
        <v>1</v>
      </c>
      <c r="I156" s="26">
        <v>162504.69010000001</v>
      </c>
      <c r="J156" s="27">
        <v>6.2215237999999999E-2</v>
      </c>
      <c r="K156" s="28">
        <f t="shared" si="9"/>
        <v>0.24467452925462971</v>
      </c>
      <c r="L156" s="29">
        <f t="shared" si="11"/>
        <v>0</v>
      </c>
    </row>
    <row r="157" spans="2:12" x14ac:dyDescent="0.25">
      <c r="B157" s="43" t="s">
        <v>877</v>
      </c>
      <c r="C157" s="30">
        <v>117148.27557582739</v>
      </c>
      <c r="D157" s="31">
        <v>96.620319245999994</v>
      </c>
      <c r="E157" s="22">
        <v>117148.27559999999</v>
      </c>
      <c r="F157" s="23">
        <v>7.686212823</v>
      </c>
      <c r="G157" s="24">
        <f t="shared" si="8"/>
        <v>2.0634199071701596E-10</v>
      </c>
      <c r="H157" s="25">
        <f t="shared" si="10"/>
        <v>1</v>
      </c>
      <c r="I157" s="26">
        <v>153689.0914</v>
      </c>
      <c r="J157" s="27">
        <v>4.8528475000000001E-2</v>
      </c>
      <c r="K157" s="28">
        <f t="shared" si="9"/>
        <v>0.31191936581704605</v>
      </c>
      <c r="L157" s="29">
        <f t="shared" si="11"/>
        <v>0</v>
      </c>
    </row>
    <row r="158" spans="2:12" x14ac:dyDescent="0.25">
      <c r="B158" s="43" t="s">
        <v>878</v>
      </c>
      <c r="C158" s="30">
        <v>112426.53702998441</v>
      </c>
      <c r="D158" s="31">
        <v>125.11888679899999</v>
      </c>
      <c r="E158" s="22">
        <v>112426.537</v>
      </c>
      <c r="F158" s="23">
        <v>9.2838770220000004</v>
      </c>
      <c r="G158" s="24">
        <f t="shared" si="8"/>
        <v>-2.6670225104372788E-10</v>
      </c>
      <c r="H158" s="25">
        <f t="shared" si="10"/>
        <v>1</v>
      </c>
      <c r="I158" s="26">
        <v>138753.79449999999</v>
      </c>
      <c r="J158" s="27">
        <v>5.3238347999999998E-2</v>
      </c>
      <c r="K158" s="28">
        <f t="shared" si="9"/>
        <v>0.23417298233595901</v>
      </c>
      <c r="L158" s="29">
        <f t="shared" si="11"/>
        <v>0</v>
      </c>
    </row>
    <row r="159" spans="2:12" x14ac:dyDescent="0.25">
      <c r="B159" s="43" t="s">
        <v>879</v>
      </c>
      <c r="C159" s="30">
        <v>88769.930933971511</v>
      </c>
      <c r="D159" s="31">
        <v>117.525355158</v>
      </c>
      <c r="E159" s="22">
        <v>88769.930900000007</v>
      </c>
      <c r="F159" s="23">
        <v>8.4879272619999995</v>
      </c>
      <c r="G159" s="24">
        <f t="shared" si="8"/>
        <v>-3.8269157079272571E-10</v>
      </c>
      <c r="H159" s="25">
        <f t="shared" si="10"/>
        <v>1</v>
      </c>
      <c r="I159" s="26">
        <v>129384.06909999999</v>
      </c>
      <c r="J159" s="27">
        <v>3.7664455999999999E-2</v>
      </c>
      <c r="K159" s="28">
        <f t="shared" si="9"/>
        <v>0.45752134465709932</v>
      </c>
      <c r="L159" s="29">
        <f t="shared" si="11"/>
        <v>0</v>
      </c>
    </row>
    <row r="160" spans="2:12" x14ac:dyDescent="0.25">
      <c r="B160" s="43" t="s">
        <v>880</v>
      </c>
      <c r="C160" s="30">
        <v>102387.84084676114</v>
      </c>
      <c r="D160" s="31">
        <v>95.272194870999996</v>
      </c>
      <c r="E160" s="22">
        <v>102387.84080000001</v>
      </c>
      <c r="F160" s="23">
        <v>7.7649528959999996</v>
      </c>
      <c r="G160" s="24">
        <f t="shared" si="8"/>
        <v>-4.5670597758511553E-10</v>
      </c>
      <c r="H160" s="25">
        <f t="shared" si="10"/>
        <v>1</v>
      </c>
      <c r="I160" s="26">
        <v>116478.70050000001</v>
      </c>
      <c r="J160" s="27">
        <v>3.6156321999999998E-2</v>
      </c>
      <c r="K160" s="28">
        <f t="shared" si="9"/>
        <v>0.13762239282228794</v>
      </c>
      <c r="L160" s="29">
        <f t="shared" si="11"/>
        <v>0</v>
      </c>
    </row>
    <row r="161" spans="2:12" x14ac:dyDescent="0.25">
      <c r="B161" s="43" t="s">
        <v>881</v>
      </c>
      <c r="C161" s="30">
        <v>91805.264840470656</v>
      </c>
      <c r="D161" s="31">
        <v>112.241918664</v>
      </c>
      <c r="E161" s="22">
        <v>91805.264800000004</v>
      </c>
      <c r="F161" s="23">
        <v>12.151845836</v>
      </c>
      <c r="G161" s="24">
        <f t="shared" si="8"/>
        <v>-4.4083148884839702E-10</v>
      </c>
      <c r="H161" s="25">
        <f t="shared" si="10"/>
        <v>1</v>
      </c>
      <c r="I161" s="26">
        <v>116853.7819</v>
      </c>
      <c r="J161" s="27">
        <v>4.4625794000000003E-2</v>
      </c>
      <c r="K161" s="28">
        <f t="shared" si="9"/>
        <v>0.2728440150252382</v>
      </c>
      <c r="L161" s="29">
        <f t="shared" si="11"/>
        <v>0</v>
      </c>
    </row>
    <row r="162" spans="2:12" x14ac:dyDescent="0.25">
      <c r="B162" s="43" t="s">
        <v>882</v>
      </c>
      <c r="C162" s="30">
        <v>86803.81617873958</v>
      </c>
      <c r="D162" s="31">
        <v>101.081152616</v>
      </c>
      <c r="E162" s="22">
        <v>86803.816200000001</v>
      </c>
      <c r="F162" s="23">
        <v>9.9425828359999997</v>
      </c>
      <c r="G162" s="24">
        <f t="shared" si="8"/>
        <v>2.4492495657612945E-10</v>
      </c>
      <c r="H162" s="25">
        <f t="shared" si="10"/>
        <v>1</v>
      </c>
      <c r="I162" s="26">
        <v>117309.24249999999</v>
      </c>
      <c r="J162" s="27">
        <v>4.4609594000000002E-2</v>
      </c>
      <c r="K162" s="28">
        <f t="shared" si="9"/>
        <v>0.35142955303308371</v>
      </c>
      <c r="L162" s="29">
        <f t="shared" si="11"/>
        <v>0</v>
      </c>
    </row>
    <row r="163" spans="2:12" x14ac:dyDescent="0.25">
      <c r="B163" s="43" t="s">
        <v>883</v>
      </c>
      <c r="C163" s="30">
        <v>106494.69646688692</v>
      </c>
      <c r="D163" s="31">
        <v>137.04018511000001</v>
      </c>
      <c r="E163" s="22">
        <v>106494.69650000001</v>
      </c>
      <c r="F163" s="23">
        <v>10.381980061</v>
      </c>
      <c r="G163" s="24">
        <f t="shared" si="8"/>
        <v>3.1093648723866762E-10</v>
      </c>
      <c r="H163" s="25">
        <f t="shared" si="10"/>
        <v>1</v>
      </c>
      <c r="I163" s="26">
        <v>126094.08070000001</v>
      </c>
      <c r="J163" s="27">
        <v>6.7454490000000006E-2</v>
      </c>
      <c r="K163" s="28">
        <f t="shared" si="9"/>
        <v>0.184040941787249</v>
      </c>
      <c r="L163" s="29">
        <f t="shared" si="11"/>
        <v>0</v>
      </c>
    </row>
    <row r="164" spans="2:12" x14ac:dyDescent="0.25">
      <c r="B164" s="43" t="s">
        <v>884</v>
      </c>
      <c r="C164" s="30">
        <v>96762.025856283843</v>
      </c>
      <c r="D164" s="31">
        <v>114.18909484700001</v>
      </c>
      <c r="E164" s="22">
        <v>96762.025899999993</v>
      </c>
      <c r="F164" s="23">
        <v>14.582345019</v>
      </c>
      <c r="G164" s="24">
        <f t="shared" si="8"/>
        <v>4.5179036195607437E-10</v>
      </c>
      <c r="H164" s="25">
        <f t="shared" si="10"/>
        <v>1</v>
      </c>
      <c r="I164" s="26">
        <v>137679.65460000001</v>
      </c>
      <c r="J164" s="27">
        <v>3.9816272999999999E-2</v>
      </c>
      <c r="K164" s="28">
        <f t="shared" si="9"/>
        <v>0.42286866548752533</v>
      </c>
      <c r="L164" s="29">
        <f t="shared" si="11"/>
        <v>0</v>
      </c>
    </row>
    <row r="165" spans="2:12" x14ac:dyDescent="0.25">
      <c r="B165" s="43" t="s">
        <v>885</v>
      </c>
      <c r="C165" s="30">
        <v>126263.68108543249</v>
      </c>
      <c r="D165" s="31">
        <v>110.033378644</v>
      </c>
      <c r="E165" s="22">
        <v>126263.6811</v>
      </c>
      <c r="F165" s="23">
        <v>11.271494851</v>
      </c>
      <c r="G165" s="24">
        <f t="shared" si="8"/>
        <v>1.1537375400638759E-10</v>
      </c>
      <c r="H165" s="25">
        <f t="shared" si="10"/>
        <v>1</v>
      </c>
      <c r="I165" s="26">
        <v>160021.94519999999</v>
      </c>
      <c r="J165" s="27">
        <v>4.4460202999999997E-2</v>
      </c>
      <c r="K165" s="28">
        <f t="shared" si="9"/>
        <v>0.26736321818247955</v>
      </c>
      <c r="L165" s="29">
        <f t="shared" si="11"/>
        <v>0</v>
      </c>
    </row>
    <row r="166" spans="2:12" x14ac:dyDescent="0.25">
      <c r="B166" s="43" t="s">
        <v>886</v>
      </c>
      <c r="C166" s="30">
        <v>120320.58884880912</v>
      </c>
      <c r="D166" s="31">
        <v>120.606095268</v>
      </c>
      <c r="E166" s="22">
        <v>120320.5888</v>
      </c>
      <c r="F166" s="23">
        <v>10.098200942</v>
      </c>
      <c r="G166" s="24">
        <f t="shared" si="8"/>
        <v>-4.056588964143172E-10</v>
      </c>
      <c r="H166" s="25">
        <f t="shared" si="10"/>
        <v>1</v>
      </c>
      <c r="I166" s="26">
        <v>158183.60060000001</v>
      </c>
      <c r="J166" s="27">
        <v>4.2888879999999997E-2</v>
      </c>
      <c r="K166" s="28">
        <f t="shared" si="9"/>
        <v>0.31468439535953652</v>
      </c>
      <c r="L166" s="29">
        <f t="shared" si="11"/>
        <v>0</v>
      </c>
    </row>
    <row r="167" spans="2:12" x14ac:dyDescent="0.25">
      <c r="B167" s="43" t="s">
        <v>887</v>
      </c>
      <c r="C167" s="30">
        <v>115564.60529117333</v>
      </c>
      <c r="D167" s="31">
        <v>143.03218301499999</v>
      </c>
      <c r="E167" s="22">
        <v>115564.6053</v>
      </c>
      <c r="F167" s="23">
        <v>11.477221533</v>
      </c>
      <c r="G167" s="24">
        <f t="shared" si="8"/>
        <v>7.6378644536877768E-11</v>
      </c>
      <c r="H167" s="25">
        <f t="shared" si="10"/>
        <v>1</v>
      </c>
      <c r="I167" s="26">
        <v>125676.5392</v>
      </c>
      <c r="J167" s="27">
        <v>4.2913786000000002E-2</v>
      </c>
      <c r="K167" s="28">
        <f t="shared" si="9"/>
        <v>8.750026777964523E-2</v>
      </c>
      <c r="L167" s="29">
        <f t="shared" si="11"/>
        <v>0</v>
      </c>
    </row>
    <row r="168" spans="2:12" x14ac:dyDescent="0.25">
      <c r="B168" s="43" t="s">
        <v>888</v>
      </c>
      <c r="C168" s="30">
        <v>93750.445895909754</v>
      </c>
      <c r="D168" s="31">
        <v>97.401638036999998</v>
      </c>
      <c r="E168" s="22">
        <v>93750.445900000006</v>
      </c>
      <c r="F168" s="23">
        <v>9.7573401499999992</v>
      </c>
      <c r="G168" s="24">
        <f t="shared" si="8"/>
        <v>4.3629150702181443E-11</v>
      </c>
      <c r="H168" s="25">
        <f t="shared" si="10"/>
        <v>1</v>
      </c>
      <c r="I168" s="26">
        <v>116472.9393</v>
      </c>
      <c r="J168" s="27">
        <v>6.0192142999999997E-2</v>
      </c>
      <c r="K168" s="28">
        <f t="shared" si="9"/>
        <v>0.24237211020114846</v>
      </c>
      <c r="L168" s="29">
        <f t="shared" si="11"/>
        <v>0</v>
      </c>
    </row>
    <row r="169" spans="2:12" x14ac:dyDescent="0.25">
      <c r="B169" s="43" t="s">
        <v>889</v>
      </c>
      <c r="C169" s="30">
        <v>114966.93179106552</v>
      </c>
      <c r="D169" s="31">
        <v>139.912036626</v>
      </c>
      <c r="E169" s="22">
        <v>114966.93180000001</v>
      </c>
      <c r="F169" s="23">
        <v>14.463987772999999</v>
      </c>
      <c r="G169" s="24">
        <f t="shared" si="8"/>
        <v>7.7713503433692665E-11</v>
      </c>
      <c r="H169" s="25">
        <f t="shared" si="10"/>
        <v>1</v>
      </c>
      <c r="I169" s="26">
        <v>120498.6608</v>
      </c>
      <c r="J169" s="27">
        <v>4.7573925000000003E-2</v>
      </c>
      <c r="K169" s="28">
        <f t="shared" si="9"/>
        <v>4.8115827070931406E-2</v>
      </c>
      <c r="L169" s="29">
        <f t="shared" si="11"/>
        <v>0</v>
      </c>
    </row>
    <row r="170" spans="2:12" x14ac:dyDescent="0.25">
      <c r="B170" s="43" t="s">
        <v>890</v>
      </c>
      <c r="C170" s="30">
        <v>105682.18520677242</v>
      </c>
      <c r="D170" s="31">
        <v>133.357227306</v>
      </c>
      <c r="E170" s="22">
        <v>105682.18520000001</v>
      </c>
      <c r="F170" s="23">
        <v>11.43432778</v>
      </c>
      <c r="G170" s="24">
        <f t="shared" si="8"/>
        <v>-6.4082869580011777E-11</v>
      </c>
      <c r="H170" s="25">
        <f t="shared" si="10"/>
        <v>1</v>
      </c>
      <c r="I170" s="26">
        <v>130520.8841</v>
      </c>
      <c r="J170" s="27">
        <v>4.6672435999999998E-2</v>
      </c>
      <c r="K170" s="28">
        <f t="shared" si="9"/>
        <v>0.23503203349390844</v>
      </c>
      <c r="L170" s="29">
        <f t="shared" si="11"/>
        <v>0</v>
      </c>
    </row>
    <row r="171" spans="2:12" x14ac:dyDescent="0.25">
      <c r="B171" s="43" t="s">
        <v>891</v>
      </c>
      <c r="C171" s="30">
        <v>173554.11389267401</v>
      </c>
      <c r="D171" s="31">
        <v>133.79872414799999</v>
      </c>
      <c r="E171" s="22">
        <v>173554.1139</v>
      </c>
      <c r="F171" s="23">
        <v>4.0226702860000003</v>
      </c>
      <c r="G171" s="24">
        <f t="shared" si="8"/>
        <v>4.2211543906524431E-11</v>
      </c>
      <c r="H171" s="25">
        <f t="shared" si="10"/>
        <v>1</v>
      </c>
      <c r="I171" s="26">
        <v>190171.13939999999</v>
      </c>
      <c r="J171" s="27">
        <v>2.0710560999999999E-2</v>
      </c>
      <c r="K171" s="28">
        <f t="shared" si="9"/>
        <v>9.5745500550923027E-2</v>
      </c>
      <c r="L171" s="29">
        <f t="shared" si="11"/>
        <v>0</v>
      </c>
    </row>
    <row r="172" spans="2:12" x14ac:dyDescent="0.25">
      <c r="B172" s="43" t="s">
        <v>892</v>
      </c>
      <c r="C172" s="30">
        <v>142419.14751857289</v>
      </c>
      <c r="D172" s="31">
        <v>131.5916268</v>
      </c>
      <c r="E172" s="22">
        <v>142419.14749999999</v>
      </c>
      <c r="F172" s="23">
        <v>2.7088354219999999</v>
      </c>
      <c r="G172" s="24">
        <f t="shared" si="8"/>
        <v>-1.3041013633259593E-10</v>
      </c>
      <c r="H172" s="25">
        <f t="shared" si="10"/>
        <v>1</v>
      </c>
      <c r="I172" s="26">
        <v>142419.14749999999</v>
      </c>
      <c r="J172" s="27">
        <v>2.1350147E-2</v>
      </c>
      <c r="K172" s="28">
        <f t="shared" si="9"/>
        <v>-1.3041013633259593E-10</v>
      </c>
      <c r="L172" s="29">
        <f t="shared" si="11"/>
        <v>1</v>
      </c>
    </row>
    <row r="173" spans="2:12" x14ac:dyDescent="0.25">
      <c r="B173" s="43" t="s">
        <v>893</v>
      </c>
      <c r="C173" s="30">
        <v>139338.32506087603</v>
      </c>
      <c r="D173" s="31">
        <v>129.63031687200001</v>
      </c>
      <c r="E173" s="22">
        <v>139338.32509999999</v>
      </c>
      <c r="F173" s="23">
        <v>3.5741270200000002</v>
      </c>
      <c r="G173" s="24">
        <f t="shared" si="8"/>
        <v>2.8078390581886989E-10</v>
      </c>
      <c r="H173" s="25">
        <f t="shared" si="10"/>
        <v>1</v>
      </c>
      <c r="I173" s="26">
        <v>148009.19390000001</v>
      </c>
      <c r="J173" s="27">
        <v>2.0617975E-2</v>
      </c>
      <c r="K173" s="28">
        <f t="shared" si="9"/>
        <v>6.2228886670883533E-2</v>
      </c>
      <c r="L173" s="29">
        <f t="shared" si="11"/>
        <v>0</v>
      </c>
    </row>
    <row r="174" spans="2:12" x14ac:dyDescent="0.25">
      <c r="B174" s="43" t="s">
        <v>894</v>
      </c>
      <c r="C174" s="30">
        <v>123226.95484002659</v>
      </c>
      <c r="D174" s="31">
        <v>27.736879519999999</v>
      </c>
      <c r="E174" s="22">
        <v>123226.95480000001</v>
      </c>
      <c r="F174" s="23">
        <v>3.70564662</v>
      </c>
      <c r="G174" s="24">
        <f t="shared" si="8"/>
        <v>-3.2482004761539229E-10</v>
      </c>
      <c r="H174" s="25">
        <f t="shared" si="10"/>
        <v>1</v>
      </c>
      <c r="I174" s="26">
        <v>123226.95480000001</v>
      </c>
      <c r="J174" s="27">
        <v>2.0375218E-2</v>
      </c>
      <c r="K174" s="28">
        <f t="shared" si="9"/>
        <v>-3.2482004761539229E-10</v>
      </c>
      <c r="L174" s="29">
        <f t="shared" si="11"/>
        <v>1</v>
      </c>
    </row>
    <row r="175" spans="2:12" x14ac:dyDescent="0.25">
      <c r="B175" s="43" t="s">
        <v>895</v>
      </c>
      <c r="C175" s="30">
        <v>120500.99154876557</v>
      </c>
      <c r="D175" s="31">
        <v>37.736651780999999</v>
      </c>
      <c r="E175" s="22">
        <v>120500.9915</v>
      </c>
      <c r="F175" s="23">
        <v>3.8100147419999999</v>
      </c>
      <c r="G175" s="24">
        <f t="shared" si="8"/>
        <v>-4.0469014220779472E-10</v>
      </c>
      <c r="H175" s="25">
        <f t="shared" si="10"/>
        <v>1</v>
      </c>
      <c r="I175" s="26">
        <v>139264.07060000001</v>
      </c>
      <c r="J175" s="27">
        <v>1.8193101999999999E-2</v>
      </c>
      <c r="K175" s="28">
        <f t="shared" si="9"/>
        <v>0.15570891832571523</v>
      </c>
      <c r="L175" s="29">
        <f t="shared" si="11"/>
        <v>0</v>
      </c>
    </row>
    <row r="176" spans="2:12" x14ac:dyDescent="0.25">
      <c r="B176" s="43" t="s">
        <v>896</v>
      </c>
      <c r="C176" s="30">
        <v>132596.48968536203</v>
      </c>
      <c r="D176" s="31">
        <v>84.773608671999995</v>
      </c>
      <c r="E176" s="22">
        <v>132596.48970000001</v>
      </c>
      <c r="F176" s="23">
        <v>3.554168126</v>
      </c>
      <c r="G176" s="24">
        <f t="shared" si="8"/>
        <v>1.1039489272877312E-10</v>
      </c>
      <c r="H176" s="25">
        <f t="shared" si="10"/>
        <v>1</v>
      </c>
      <c r="I176" s="26">
        <v>146430.81890000001</v>
      </c>
      <c r="J176" s="27">
        <v>1.9408083E-2</v>
      </c>
      <c r="K176" s="28">
        <f t="shared" si="9"/>
        <v>0.10433405324277767</v>
      </c>
      <c r="L176" s="29">
        <f t="shared" si="11"/>
        <v>0</v>
      </c>
    </row>
    <row r="177" spans="2:12" x14ac:dyDescent="0.25">
      <c r="B177" s="43" t="s">
        <v>897</v>
      </c>
      <c r="C177" s="30">
        <v>132942.17713666454</v>
      </c>
      <c r="D177" s="31">
        <v>35.125195441000002</v>
      </c>
      <c r="E177" s="22">
        <v>132942.1771</v>
      </c>
      <c r="F177" s="23">
        <v>2.7526285970000002</v>
      </c>
      <c r="G177" s="24">
        <f t="shared" si="8"/>
        <v>-2.7579313606707875E-10</v>
      </c>
      <c r="H177" s="25">
        <f t="shared" si="10"/>
        <v>1</v>
      </c>
      <c r="I177" s="26">
        <v>132942.1771</v>
      </c>
      <c r="J177" s="27">
        <v>2.3717731999999998E-2</v>
      </c>
      <c r="K177" s="28">
        <f t="shared" si="9"/>
        <v>-2.7579313606707875E-10</v>
      </c>
      <c r="L177" s="29">
        <f t="shared" si="11"/>
        <v>1</v>
      </c>
    </row>
    <row r="178" spans="2:12" x14ac:dyDescent="0.25">
      <c r="B178" s="43" t="s">
        <v>898</v>
      </c>
      <c r="C178" s="30">
        <v>148254.32666070308</v>
      </c>
      <c r="D178" s="31">
        <v>132.230757442</v>
      </c>
      <c r="E178" s="22">
        <v>148254.32670000001</v>
      </c>
      <c r="F178" s="23">
        <v>2.7520942920000002</v>
      </c>
      <c r="G178" s="24">
        <f t="shared" si="8"/>
        <v>2.6506425876657177E-10</v>
      </c>
      <c r="H178" s="25">
        <f t="shared" si="10"/>
        <v>1</v>
      </c>
      <c r="I178" s="26">
        <v>157318.24950000001</v>
      </c>
      <c r="J178" s="27">
        <v>2.6599607000000001E-2</v>
      </c>
      <c r="K178" s="28">
        <f t="shared" si="9"/>
        <v>6.1137661500029902E-2</v>
      </c>
      <c r="L178" s="29">
        <f t="shared" si="11"/>
        <v>0</v>
      </c>
    </row>
    <row r="179" spans="2:12" x14ac:dyDescent="0.25">
      <c r="B179" s="43" t="s">
        <v>899</v>
      </c>
      <c r="C179" s="30">
        <v>159520.14402976196</v>
      </c>
      <c r="D179" s="31">
        <v>151.98265286899999</v>
      </c>
      <c r="E179" s="22">
        <v>159520.144</v>
      </c>
      <c r="F179" s="23">
        <v>3.0835379440000001</v>
      </c>
      <c r="G179" s="24">
        <f t="shared" si="8"/>
        <v>-1.8657176844887428E-10</v>
      </c>
      <c r="H179" s="25">
        <f t="shared" si="10"/>
        <v>1</v>
      </c>
      <c r="I179" s="26">
        <v>164506.19940000001</v>
      </c>
      <c r="J179" s="27">
        <v>3.7181245000000002E-2</v>
      </c>
      <c r="K179" s="28">
        <f t="shared" si="9"/>
        <v>3.1256587690315772E-2</v>
      </c>
      <c r="L179" s="29">
        <f t="shared" si="11"/>
        <v>0</v>
      </c>
    </row>
    <row r="180" spans="2:12" x14ac:dyDescent="0.25">
      <c r="B180" s="43" t="s">
        <v>900</v>
      </c>
      <c r="C180" s="30">
        <v>150169.14465216605</v>
      </c>
      <c r="D180" s="31">
        <v>165.93799998599999</v>
      </c>
      <c r="E180" s="22">
        <v>150169.1447</v>
      </c>
      <c r="F180" s="23">
        <v>4.832758353</v>
      </c>
      <c r="G180" s="24">
        <f t="shared" si="8"/>
        <v>3.1853381001754409E-10</v>
      </c>
      <c r="H180" s="25">
        <f t="shared" si="10"/>
        <v>1</v>
      </c>
      <c r="I180" s="26">
        <v>162131.69390000001</v>
      </c>
      <c r="J180" s="27">
        <v>2.9074055000000001E-2</v>
      </c>
      <c r="K180" s="28">
        <f t="shared" si="9"/>
        <v>7.9660500667714296E-2</v>
      </c>
      <c r="L180" s="29">
        <f t="shared" si="11"/>
        <v>0</v>
      </c>
    </row>
    <row r="181" spans="2:12" x14ac:dyDescent="0.25">
      <c r="B181" s="43" t="s">
        <v>901</v>
      </c>
      <c r="C181" s="30">
        <v>140839.96619007524</v>
      </c>
      <c r="D181" s="31">
        <v>116.603187991</v>
      </c>
      <c r="E181" s="22">
        <v>140839.9662</v>
      </c>
      <c r="F181" s="23">
        <v>5.4955875489999997</v>
      </c>
      <c r="G181" s="24">
        <f t="shared" si="8"/>
        <v>7.0468317340529547E-11</v>
      </c>
      <c r="H181" s="25">
        <f t="shared" si="10"/>
        <v>1</v>
      </c>
      <c r="I181" s="26">
        <v>181439.75959999999</v>
      </c>
      <c r="J181" s="27">
        <v>4.668539E-2</v>
      </c>
      <c r="K181" s="28">
        <f t="shared" si="9"/>
        <v>0.28826898009285201</v>
      </c>
      <c r="L181" s="29">
        <f t="shared" si="11"/>
        <v>0</v>
      </c>
    </row>
    <row r="182" spans="2:12" x14ac:dyDescent="0.25">
      <c r="B182" s="43" t="s">
        <v>902</v>
      </c>
      <c r="C182" s="30">
        <v>143411.83375951371</v>
      </c>
      <c r="D182" s="31">
        <v>157.14938344699999</v>
      </c>
      <c r="E182" s="22">
        <v>143411.83379999999</v>
      </c>
      <c r="F182" s="23">
        <v>5.4246862609999997</v>
      </c>
      <c r="G182" s="24">
        <f t="shared" si="8"/>
        <v>2.8230780737796365E-10</v>
      </c>
      <c r="H182" s="25">
        <f t="shared" si="10"/>
        <v>1</v>
      </c>
      <c r="I182" s="26">
        <v>178802.40599999999</v>
      </c>
      <c r="J182" s="27">
        <v>6.5416626000000005E-2</v>
      </c>
      <c r="K182" s="28">
        <f t="shared" si="9"/>
        <v>0.24677581558459447</v>
      </c>
      <c r="L182" s="29">
        <f t="shared" si="11"/>
        <v>0</v>
      </c>
    </row>
    <row r="183" spans="2:12" x14ac:dyDescent="0.25">
      <c r="B183" s="43" t="s">
        <v>903</v>
      </c>
      <c r="C183" s="30">
        <v>112742.41450592894</v>
      </c>
      <c r="D183" s="31">
        <v>119.43960300800001</v>
      </c>
      <c r="E183" s="22">
        <v>112742.4145</v>
      </c>
      <c r="F183" s="23">
        <v>4.907581714</v>
      </c>
      <c r="G183" s="24">
        <f t="shared" si="8"/>
        <v>-5.2588416303986697E-11</v>
      </c>
      <c r="H183" s="25">
        <f t="shared" si="10"/>
        <v>1</v>
      </c>
      <c r="I183" s="26">
        <v>150549.5637</v>
      </c>
      <c r="J183" s="27">
        <v>3.7387373000000002E-2</v>
      </c>
      <c r="K183" s="28">
        <f t="shared" si="9"/>
        <v>0.33534095716996409</v>
      </c>
      <c r="L183" s="29">
        <f t="shared" si="11"/>
        <v>0</v>
      </c>
    </row>
    <row r="184" spans="2:12" x14ac:dyDescent="0.25">
      <c r="B184" s="43" t="s">
        <v>904</v>
      </c>
      <c r="C184" s="30">
        <v>126011.89991868808</v>
      </c>
      <c r="D184" s="31">
        <v>123.99559723</v>
      </c>
      <c r="E184" s="22">
        <v>126011.8999</v>
      </c>
      <c r="F184" s="23">
        <v>5.2344062439999997</v>
      </c>
      <c r="G184" s="24">
        <f t="shared" si="8"/>
        <v>-1.48304079736601E-10</v>
      </c>
      <c r="H184" s="25">
        <f t="shared" si="10"/>
        <v>1</v>
      </c>
      <c r="I184" s="26">
        <v>126011.8999</v>
      </c>
      <c r="J184" s="27">
        <v>2.6538762E-2</v>
      </c>
      <c r="K184" s="28">
        <f t="shared" si="9"/>
        <v>-1.48304079736601E-10</v>
      </c>
      <c r="L184" s="29">
        <f t="shared" si="11"/>
        <v>1</v>
      </c>
    </row>
    <row r="185" spans="2:12" x14ac:dyDescent="0.25">
      <c r="B185" s="43" t="s">
        <v>905</v>
      </c>
      <c r="C185" s="30">
        <v>123322.46103497784</v>
      </c>
      <c r="D185" s="31">
        <v>161.436654635</v>
      </c>
      <c r="E185" s="22">
        <v>123322.461</v>
      </c>
      <c r="F185" s="23">
        <v>5.0101838880000003</v>
      </c>
      <c r="G185" s="24">
        <f t="shared" si="8"/>
        <v>-2.8362912734915583E-10</v>
      </c>
      <c r="H185" s="25">
        <f t="shared" si="10"/>
        <v>1</v>
      </c>
      <c r="I185" s="26">
        <v>153454.9497</v>
      </c>
      <c r="J185" s="27">
        <v>2.8694679000000001E-2</v>
      </c>
      <c r="K185" s="28">
        <f t="shared" si="9"/>
        <v>0.2443390150677881</v>
      </c>
      <c r="L185" s="29">
        <f t="shared" si="11"/>
        <v>0</v>
      </c>
    </row>
    <row r="186" spans="2:12" x14ac:dyDescent="0.25">
      <c r="B186" s="43" t="s">
        <v>906</v>
      </c>
      <c r="C186" s="30">
        <v>137838.78576058816</v>
      </c>
      <c r="D186" s="31">
        <v>148.37450408500001</v>
      </c>
      <c r="E186" s="22">
        <v>137838.78580000001</v>
      </c>
      <c r="F186" s="23">
        <v>5.4959687649999998</v>
      </c>
      <c r="G186" s="24">
        <f t="shared" si="8"/>
        <v>2.8592717219799407E-10</v>
      </c>
      <c r="H186" s="25">
        <f t="shared" si="10"/>
        <v>1</v>
      </c>
      <c r="I186" s="26">
        <v>179750.17689999999</v>
      </c>
      <c r="J186" s="27">
        <v>3.0539107999999999E-2</v>
      </c>
      <c r="K186" s="28">
        <f t="shared" si="9"/>
        <v>0.30406094270307649</v>
      </c>
      <c r="L186" s="29">
        <f t="shared" si="11"/>
        <v>0</v>
      </c>
    </row>
    <row r="187" spans="2:12" x14ac:dyDescent="0.25">
      <c r="B187" s="43" t="s">
        <v>907</v>
      </c>
      <c r="C187" s="30">
        <v>146597.94717145714</v>
      </c>
      <c r="D187" s="31">
        <v>189.14041760200001</v>
      </c>
      <c r="E187" s="22">
        <v>146597.9472</v>
      </c>
      <c r="F187" s="23">
        <v>6.7103918629999999</v>
      </c>
      <c r="G187" s="24">
        <f t="shared" si="8"/>
        <v>1.9470159490908275E-10</v>
      </c>
      <c r="H187" s="25">
        <f t="shared" si="10"/>
        <v>1</v>
      </c>
      <c r="I187" s="26">
        <v>174663.8609</v>
      </c>
      <c r="J187" s="27">
        <v>2.7422680000000001E-2</v>
      </c>
      <c r="K187" s="28">
        <f t="shared" si="9"/>
        <v>0.19144820422156184</v>
      </c>
      <c r="L187" s="29">
        <f t="shared" si="11"/>
        <v>0</v>
      </c>
    </row>
    <row r="188" spans="2:12" x14ac:dyDescent="0.25">
      <c r="B188" s="43" t="s">
        <v>908</v>
      </c>
      <c r="C188" s="30">
        <v>133380.02638876703</v>
      </c>
      <c r="D188" s="31">
        <v>102.66942101399999</v>
      </c>
      <c r="E188" s="22">
        <v>133380.0264</v>
      </c>
      <c r="F188" s="23">
        <v>4.6313726940000004</v>
      </c>
      <c r="G188" s="24">
        <f t="shared" si="8"/>
        <v>8.4217801681945609E-11</v>
      </c>
      <c r="H188" s="25">
        <f t="shared" si="10"/>
        <v>1</v>
      </c>
      <c r="I188" s="26">
        <v>137446.27600000001</v>
      </c>
      <c r="J188" s="27">
        <v>4.7662010999999997E-2</v>
      </c>
      <c r="K188" s="28">
        <f t="shared" si="9"/>
        <v>3.048619588199027E-2</v>
      </c>
      <c r="L188" s="29">
        <f t="shared" si="11"/>
        <v>0</v>
      </c>
    </row>
    <row r="189" spans="2:12" x14ac:dyDescent="0.25">
      <c r="B189" s="43" t="s">
        <v>909</v>
      </c>
      <c r="C189" s="30">
        <v>145003.46633577539</v>
      </c>
      <c r="D189" s="31">
        <v>119.944788426</v>
      </c>
      <c r="E189" s="22">
        <v>145003.4663</v>
      </c>
      <c r="F189" s="23">
        <v>6.3690255599999999</v>
      </c>
      <c r="G189" s="24">
        <f t="shared" si="8"/>
        <v>-2.467209214225219E-10</v>
      </c>
      <c r="H189" s="25">
        <f t="shared" si="10"/>
        <v>1</v>
      </c>
      <c r="I189" s="26">
        <v>145003.4663</v>
      </c>
      <c r="J189" s="27">
        <v>3.1039542E-2</v>
      </c>
      <c r="K189" s="28">
        <f t="shared" si="9"/>
        <v>-2.467209214225219E-10</v>
      </c>
      <c r="L189" s="29">
        <f t="shared" si="11"/>
        <v>1</v>
      </c>
    </row>
    <row r="190" spans="2:12" x14ac:dyDescent="0.25">
      <c r="B190" s="43" t="s">
        <v>910</v>
      </c>
      <c r="C190" s="30">
        <v>136695.13328340158</v>
      </c>
      <c r="D190" s="31">
        <v>126.564169472</v>
      </c>
      <c r="E190" s="22">
        <v>136695.13329999999</v>
      </c>
      <c r="F190" s="23">
        <v>5.3338579079999997</v>
      </c>
      <c r="G190" s="24">
        <f t="shared" si="8"/>
        <v>1.2142648297639491E-10</v>
      </c>
      <c r="H190" s="25">
        <f t="shared" si="10"/>
        <v>1</v>
      </c>
      <c r="I190" s="26">
        <v>148855.27309999999</v>
      </c>
      <c r="J190" s="27">
        <v>2.5860892999999999E-2</v>
      </c>
      <c r="K190" s="28">
        <f t="shared" si="9"/>
        <v>8.8958103514830675E-2</v>
      </c>
      <c r="L190" s="29">
        <f t="shared" si="11"/>
        <v>0</v>
      </c>
    </row>
    <row r="191" spans="2:12" x14ac:dyDescent="0.25">
      <c r="B191" s="43" t="s">
        <v>911</v>
      </c>
      <c r="C191" s="30">
        <v>130843.32262789411</v>
      </c>
      <c r="D191" s="31">
        <v>179.649044788</v>
      </c>
      <c r="E191" s="22">
        <v>130843.3226</v>
      </c>
      <c r="F191" s="23">
        <v>7.7553887330000002</v>
      </c>
      <c r="G191" s="24">
        <f t="shared" si="8"/>
        <v>-2.1318715110294571E-10</v>
      </c>
      <c r="H191" s="25">
        <f t="shared" si="10"/>
        <v>1</v>
      </c>
      <c r="I191" s="26">
        <v>155949.4803</v>
      </c>
      <c r="J191" s="27">
        <v>4.4841011E-2</v>
      </c>
      <c r="K191" s="28">
        <f t="shared" si="9"/>
        <v>0.19187954851548206</v>
      </c>
      <c r="L191" s="29">
        <f t="shared" si="11"/>
        <v>0</v>
      </c>
    </row>
    <row r="192" spans="2:12" x14ac:dyDescent="0.25">
      <c r="B192" s="43" t="s">
        <v>912</v>
      </c>
      <c r="C192" s="30">
        <v>102177.51297454239</v>
      </c>
      <c r="D192" s="31">
        <v>157.93635932699999</v>
      </c>
      <c r="E192" s="22">
        <v>102177.51300000001</v>
      </c>
      <c r="F192" s="23">
        <v>8.4655691700000002</v>
      </c>
      <c r="G192" s="24">
        <f t="shared" si="8"/>
        <v>2.49150860346009E-10</v>
      </c>
      <c r="H192" s="25">
        <f t="shared" si="10"/>
        <v>1</v>
      </c>
      <c r="I192" s="26">
        <v>135171.2997</v>
      </c>
      <c r="J192" s="27">
        <v>4.1833007999999998E-2</v>
      </c>
      <c r="K192" s="28">
        <f t="shared" si="9"/>
        <v>0.32290653554738646</v>
      </c>
      <c r="L192" s="29">
        <f t="shared" si="11"/>
        <v>0</v>
      </c>
    </row>
    <row r="193" spans="2:12" x14ac:dyDescent="0.25">
      <c r="B193" s="43" t="s">
        <v>913</v>
      </c>
      <c r="C193" s="30">
        <v>114673.60813269668</v>
      </c>
      <c r="D193" s="31">
        <v>133.55718299200001</v>
      </c>
      <c r="E193" s="22">
        <v>114673.6081</v>
      </c>
      <c r="F193" s="23">
        <v>7.0859328719999999</v>
      </c>
      <c r="G193" s="24">
        <f t="shared" si="8"/>
        <v>-2.8512823750053005E-10</v>
      </c>
      <c r="H193" s="25">
        <f t="shared" si="10"/>
        <v>1</v>
      </c>
      <c r="I193" s="26">
        <v>134602.10089999999</v>
      </c>
      <c r="J193" s="27">
        <v>3.9829679E-2</v>
      </c>
      <c r="K193" s="28">
        <f t="shared" si="9"/>
        <v>0.17378447483960466</v>
      </c>
      <c r="L193" s="29">
        <f t="shared" si="11"/>
        <v>0</v>
      </c>
    </row>
    <row r="194" spans="2:12" x14ac:dyDescent="0.25">
      <c r="B194" s="43" t="s">
        <v>914</v>
      </c>
      <c r="C194" s="30">
        <v>97214.940883260831</v>
      </c>
      <c r="D194" s="31">
        <v>167.091873432</v>
      </c>
      <c r="E194" s="22">
        <v>97214.940900000001</v>
      </c>
      <c r="F194" s="23">
        <v>8.7363533950000001</v>
      </c>
      <c r="G194" s="24">
        <f t="shared" si="8"/>
        <v>1.7218721524192438E-10</v>
      </c>
      <c r="H194" s="25">
        <f t="shared" si="10"/>
        <v>1</v>
      </c>
      <c r="I194" s="26">
        <v>97214.940900000001</v>
      </c>
      <c r="J194" s="27">
        <v>3.6360486999999997E-2</v>
      </c>
      <c r="K194" s="28">
        <f t="shared" si="9"/>
        <v>1.7218721524192438E-10</v>
      </c>
      <c r="L194" s="29">
        <f t="shared" si="11"/>
        <v>1</v>
      </c>
    </row>
    <row r="195" spans="2:12" x14ac:dyDescent="0.25">
      <c r="B195" s="43" t="s">
        <v>915</v>
      </c>
      <c r="C195" s="30">
        <v>106954.15944398876</v>
      </c>
      <c r="D195" s="31">
        <v>179.958059295</v>
      </c>
      <c r="E195" s="22">
        <v>106954.1594</v>
      </c>
      <c r="F195" s="23">
        <v>8.6256502439999991</v>
      </c>
      <c r="G195" s="24">
        <f t="shared" ref="G195:G250" si="12">(E195-C195)/C195</f>
        <v>-4.1128603078053402E-10</v>
      </c>
      <c r="H195" s="25">
        <f t="shared" si="10"/>
        <v>1</v>
      </c>
      <c r="I195" s="26">
        <v>145756.60399999999</v>
      </c>
      <c r="J195" s="27">
        <v>3.7947029E-2</v>
      </c>
      <c r="K195" s="28">
        <f t="shared" ref="K195:K250" si="13">(I195-C195)/C195</f>
        <v>0.36279509612089317</v>
      </c>
      <c r="L195" s="29">
        <f t="shared" si="11"/>
        <v>0</v>
      </c>
    </row>
    <row r="196" spans="2:12" x14ac:dyDescent="0.25">
      <c r="B196" s="43" t="s">
        <v>916</v>
      </c>
      <c r="C196" s="30">
        <v>137404.34864825278</v>
      </c>
      <c r="D196" s="31">
        <v>131.37908661700001</v>
      </c>
      <c r="E196" s="22">
        <v>137404.3486</v>
      </c>
      <c r="F196" s="23">
        <v>7.0664242929999999</v>
      </c>
      <c r="G196" s="24">
        <f t="shared" si="12"/>
        <v>-3.5117362362931727E-10</v>
      </c>
      <c r="H196" s="25">
        <f t="shared" ref="H196:H250" si="14">IF(G196&lt;0.000001,1,0)</f>
        <v>1</v>
      </c>
      <c r="I196" s="26">
        <v>161437.3222</v>
      </c>
      <c r="J196" s="27">
        <v>3.8490182999999997E-2</v>
      </c>
      <c r="K196" s="28">
        <f t="shared" si="13"/>
        <v>0.17490693553862871</v>
      </c>
      <c r="L196" s="29">
        <f t="shared" ref="L196:L250" si="15">IF(K196&lt;0.000001,1,0)</f>
        <v>0</v>
      </c>
    </row>
    <row r="197" spans="2:12" x14ac:dyDescent="0.25">
      <c r="B197" s="43" t="s">
        <v>917</v>
      </c>
      <c r="C197" s="30">
        <v>115529.39581389561</v>
      </c>
      <c r="D197" s="31">
        <v>144.641934072</v>
      </c>
      <c r="E197" s="22">
        <v>115529.3958</v>
      </c>
      <c r="F197" s="23">
        <v>9.2137848610000006</v>
      </c>
      <c r="G197" s="24">
        <f t="shared" si="12"/>
        <v>-1.2027769384370784E-10</v>
      </c>
      <c r="H197" s="25">
        <f t="shared" si="14"/>
        <v>1</v>
      </c>
      <c r="I197" s="26">
        <v>142756.17180000001</v>
      </c>
      <c r="J197" s="27">
        <v>3.2296951999999997E-2</v>
      </c>
      <c r="K197" s="28">
        <f t="shared" si="13"/>
        <v>0.23566968211245184</v>
      </c>
      <c r="L197" s="29">
        <f t="shared" si="15"/>
        <v>0</v>
      </c>
    </row>
    <row r="198" spans="2:12" x14ac:dyDescent="0.25">
      <c r="B198" s="43" t="s">
        <v>918</v>
      </c>
      <c r="C198" s="30">
        <v>129100.53496805423</v>
      </c>
      <c r="D198" s="31">
        <v>201.36778271200001</v>
      </c>
      <c r="E198" s="22">
        <v>129100.535</v>
      </c>
      <c r="F198" s="23">
        <v>8.3638621289999993</v>
      </c>
      <c r="G198" s="24">
        <f t="shared" si="12"/>
        <v>2.4744882624222282E-10</v>
      </c>
      <c r="H198" s="25">
        <f t="shared" si="14"/>
        <v>1</v>
      </c>
      <c r="I198" s="26">
        <v>163265.04749999999</v>
      </c>
      <c r="J198" s="27">
        <v>4.0524349000000001E-2</v>
      </c>
      <c r="K198" s="28">
        <f t="shared" si="13"/>
        <v>0.26463494160113066</v>
      </c>
      <c r="L198" s="29">
        <f t="shared" si="15"/>
        <v>0</v>
      </c>
    </row>
    <row r="199" spans="2:12" x14ac:dyDescent="0.25">
      <c r="B199" s="43" t="s">
        <v>919</v>
      </c>
      <c r="C199" s="30">
        <v>128093.27348200961</v>
      </c>
      <c r="D199" s="31">
        <v>178.45334000599999</v>
      </c>
      <c r="E199" s="22">
        <v>128093.2735</v>
      </c>
      <c r="F199" s="23">
        <v>9.0345232840000005</v>
      </c>
      <c r="G199" s="24">
        <f t="shared" si="12"/>
        <v>1.4044755660182549E-10</v>
      </c>
      <c r="H199" s="25">
        <f t="shared" si="14"/>
        <v>1</v>
      </c>
      <c r="I199" s="26">
        <v>141046.2121</v>
      </c>
      <c r="J199" s="27">
        <v>4.4049748E-2</v>
      </c>
      <c r="K199" s="28">
        <f t="shared" si="13"/>
        <v>0.10112114606712432</v>
      </c>
      <c r="L199" s="29">
        <f t="shared" si="15"/>
        <v>0</v>
      </c>
    </row>
    <row r="200" spans="2:12" x14ac:dyDescent="0.25">
      <c r="B200" s="43" t="s">
        <v>920</v>
      </c>
      <c r="C200" s="30">
        <v>120084.48794258211</v>
      </c>
      <c r="D200" s="31">
        <v>164.74132552699999</v>
      </c>
      <c r="E200" s="22">
        <v>120084.48789999999</v>
      </c>
      <c r="F200" s="23">
        <v>8.2489903420000008</v>
      </c>
      <c r="G200" s="24">
        <f t="shared" si="12"/>
        <v>-3.5460133661749332E-10</v>
      </c>
      <c r="H200" s="25">
        <f t="shared" si="14"/>
        <v>1</v>
      </c>
      <c r="I200" s="26">
        <v>166608.13329999999</v>
      </c>
      <c r="J200" s="27">
        <v>4.6621990000000002E-2</v>
      </c>
      <c r="K200" s="28">
        <f t="shared" si="13"/>
        <v>0.38742427231453042</v>
      </c>
      <c r="L200" s="29">
        <f t="shared" si="15"/>
        <v>0</v>
      </c>
    </row>
    <row r="201" spans="2:12" x14ac:dyDescent="0.25">
      <c r="B201" s="43" t="s">
        <v>921</v>
      </c>
      <c r="C201" s="30">
        <v>96411.445346687091</v>
      </c>
      <c r="D201" s="31">
        <v>186.241762201</v>
      </c>
      <c r="E201" s="22">
        <v>96898.841899999999</v>
      </c>
      <c r="F201" s="23">
        <v>10.495922116999999</v>
      </c>
      <c r="G201" s="24">
        <f t="shared" si="12"/>
        <v>5.0553806299684992E-3</v>
      </c>
      <c r="H201" s="25">
        <f t="shared" si="14"/>
        <v>0</v>
      </c>
      <c r="I201" s="26">
        <v>126589.94960000001</v>
      </c>
      <c r="J201" s="27">
        <v>6.5570986999999997E-2</v>
      </c>
      <c r="K201" s="28">
        <f t="shared" si="13"/>
        <v>0.31301785949576488</v>
      </c>
      <c r="L201" s="29">
        <f t="shared" si="15"/>
        <v>0</v>
      </c>
    </row>
    <row r="202" spans="2:12" x14ac:dyDescent="0.25">
      <c r="B202" s="43" t="s">
        <v>922</v>
      </c>
      <c r="C202" s="30">
        <v>112053.99449466454</v>
      </c>
      <c r="D202" s="31">
        <v>222.99111849799999</v>
      </c>
      <c r="E202" s="22">
        <v>112053.9945</v>
      </c>
      <c r="F202" s="23">
        <v>11.06116155</v>
      </c>
      <c r="G202" s="24">
        <f t="shared" si="12"/>
        <v>4.7615078271348504E-11</v>
      </c>
      <c r="H202" s="25">
        <f t="shared" si="14"/>
        <v>1</v>
      </c>
      <c r="I202" s="26">
        <v>133292.66029999999</v>
      </c>
      <c r="J202" s="27">
        <v>4.5820277E-2</v>
      </c>
      <c r="K202" s="28">
        <f t="shared" si="13"/>
        <v>0.18953956885800022</v>
      </c>
      <c r="L202" s="29">
        <f t="shared" si="15"/>
        <v>0</v>
      </c>
    </row>
    <row r="203" spans="2:12" x14ac:dyDescent="0.25">
      <c r="B203" s="43" t="s">
        <v>923</v>
      </c>
      <c r="C203" s="30">
        <v>81703.785188989845</v>
      </c>
      <c r="D203" s="31">
        <v>109.41678274100001</v>
      </c>
      <c r="E203" s="22">
        <v>81703.785199999998</v>
      </c>
      <c r="F203" s="23">
        <v>17.490462809</v>
      </c>
      <c r="G203" s="24">
        <f t="shared" si="12"/>
        <v>1.3475695965979303E-10</v>
      </c>
      <c r="H203" s="25">
        <f t="shared" si="14"/>
        <v>1</v>
      </c>
      <c r="I203" s="26">
        <v>127240.8817</v>
      </c>
      <c r="J203" s="27">
        <v>4.7523780000000002E-2</v>
      </c>
      <c r="K203" s="28">
        <f t="shared" si="13"/>
        <v>0.55734378040965715</v>
      </c>
      <c r="L203" s="29">
        <f t="shared" si="15"/>
        <v>0</v>
      </c>
    </row>
    <row r="204" spans="2:12" x14ac:dyDescent="0.25">
      <c r="B204" s="43" t="s">
        <v>924</v>
      </c>
      <c r="C204" s="30">
        <v>111537.76320476006</v>
      </c>
      <c r="D204" s="31">
        <v>138.935156191</v>
      </c>
      <c r="E204" s="22">
        <v>111537.7632</v>
      </c>
      <c r="F204" s="23">
        <v>11.220180816999999</v>
      </c>
      <c r="G204" s="24">
        <f t="shared" si="12"/>
        <v>-4.2676689057295967E-11</v>
      </c>
      <c r="H204" s="25">
        <f t="shared" si="14"/>
        <v>1</v>
      </c>
      <c r="I204" s="26">
        <v>135491.41070000001</v>
      </c>
      <c r="J204" s="27">
        <v>4.0342517000000001E-2</v>
      </c>
      <c r="K204" s="28">
        <f t="shared" si="13"/>
        <v>0.21475818419691675</v>
      </c>
      <c r="L204" s="29">
        <f t="shared" si="15"/>
        <v>0</v>
      </c>
    </row>
    <row r="205" spans="2:12" x14ac:dyDescent="0.25">
      <c r="B205" s="43" t="s">
        <v>925</v>
      </c>
      <c r="C205" s="30">
        <v>98233.253898865223</v>
      </c>
      <c r="D205" s="31">
        <v>167.142000739</v>
      </c>
      <c r="E205" s="22">
        <v>98233.253899999996</v>
      </c>
      <c r="F205" s="23">
        <v>12.225699743</v>
      </c>
      <c r="G205" s="24">
        <f t="shared" si="12"/>
        <v>1.1551820349874251E-11</v>
      </c>
      <c r="H205" s="25">
        <f t="shared" si="14"/>
        <v>1</v>
      </c>
      <c r="I205" s="26">
        <v>123826.5433</v>
      </c>
      <c r="J205" s="27">
        <v>4.6884185000000002E-2</v>
      </c>
      <c r="K205" s="28">
        <f t="shared" si="13"/>
        <v>0.26053590190022641</v>
      </c>
      <c r="L205" s="29">
        <f t="shared" si="15"/>
        <v>0</v>
      </c>
    </row>
    <row r="206" spans="2:12" x14ac:dyDescent="0.25">
      <c r="B206" s="43" t="s">
        <v>926</v>
      </c>
      <c r="C206" s="30">
        <v>109679.22196666856</v>
      </c>
      <c r="D206" s="31">
        <v>135.432231806</v>
      </c>
      <c r="E206" s="22">
        <v>109679.22199999999</v>
      </c>
      <c r="F206" s="23">
        <v>15.773626158000001</v>
      </c>
      <c r="G206" s="24">
        <f t="shared" si="12"/>
        <v>3.0389929577630499E-10</v>
      </c>
      <c r="H206" s="25">
        <f t="shared" si="14"/>
        <v>1</v>
      </c>
      <c r="I206" s="26">
        <v>144108.7493</v>
      </c>
      <c r="J206" s="27">
        <v>7.3848388000000001E-2</v>
      </c>
      <c r="K206" s="28">
        <f t="shared" si="13"/>
        <v>0.31391111931660631</v>
      </c>
      <c r="L206" s="29">
        <f t="shared" si="15"/>
        <v>0</v>
      </c>
    </row>
    <row r="207" spans="2:12" x14ac:dyDescent="0.25">
      <c r="B207" s="43" t="s">
        <v>927</v>
      </c>
      <c r="C207" s="30">
        <v>105184.92755189181</v>
      </c>
      <c r="D207" s="31">
        <v>124.185172499</v>
      </c>
      <c r="E207" s="22">
        <v>105184.9276</v>
      </c>
      <c r="F207" s="23">
        <v>15.637991785000001</v>
      </c>
      <c r="G207" s="24">
        <f t="shared" si="12"/>
        <v>4.5736762628728433E-10</v>
      </c>
      <c r="H207" s="25">
        <f t="shared" si="14"/>
        <v>1</v>
      </c>
      <c r="I207" s="26">
        <v>127453.1875</v>
      </c>
      <c r="J207" s="27">
        <v>4.6907007000000001E-2</v>
      </c>
      <c r="K207" s="28">
        <f t="shared" si="13"/>
        <v>0.21170580677656869</v>
      </c>
      <c r="L207" s="29">
        <f t="shared" si="15"/>
        <v>0</v>
      </c>
    </row>
    <row r="208" spans="2:12" x14ac:dyDescent="0.25">
      <c r="B208" s="43" t="s">
        <v>928</v>
      </c>
      <c r="C208" s="30">
        <v>108244.28903125599</v>
      </c>
      <c r="D208" s="31">
        <v>128.185957277</v>
      </c>
      <c r="E208" s="22">
        <v>108244.289</v>
      </c>
      <c r="F208" s="23">
        <v>12.176780353</v>
      </c>
      <c r="G208" s="24">
        <f t="shared" si="12"/>
        <v>-2.8875413418261468E-10</v>
      </c>
      <c r="H208" s="25">
        <f t="shared" si="14"/>
        <v>1</v>
      </c>
      <c r="I208" s="26">
        <v>140799.40419999999</v>
      </c>
      <c r="J208" s="27">
        <v>6.4336568999999996E-2</v>
      </c>
      <c r="K208" s="28">
        <f t="shared" si="13"/>
        <v>0.3007559609850971</v>
      </c>
      <c r="L208" s="29">
        <f t="shared" si="15"/>
        <v>0</v>
      </c>
    </row>
    <row r="209" spans="2:12" x14ac:dyDescent="0.25">
      <c r="B209" s="43" t="s">
        <v>929</v>
      </c>
      <c r="C209" s="30">
        <v>110065.92759876123</v>
      </c>
      <c r="D209" s="31">
        <v>187.43824208999999</v>
      </c>
      <c r="E209" s="22">
        <v>110065.9276</v>
      </c>
      <c r="F209" s="23">
        <v>11.800322851000001</v>
      </c>
      <c r="G209" s="24">
        <f t="shared" si="12"/>
        <v>1.1254717192417747E-11</v>
      </c>
      <c r="H209" s="25">
        <f t="shared" si="14"/>
        <v>1</v>
      </c>
      <c r="I209" s="26">
        <v>150597.07389999999</v>
      </c>
      <c r="J209" s="27">
        <v>4.4252188999999997E-2</v>
      </c>
      <c r="K209" s="28">
        <f t="shared" si="13"/>
        <v>0.36824426219340672</v>
      </c>
      <c r="L209" s="29">
        <f t="shared" si="15"/>
        <v>0</v>
      </c>
    </row>
    <row r="210" spans="2:12" x14ac:dyDescent="0.25">
      <c r="B210" s="43" t="s">
        <v>930</v>
      </c>
      <c r="C210" s="30">
        <v>108218.56787624481</v>
      </c>
      <c r="D210" s="31">
        <v>128.175279733</v>
      </c>
      <c r="E210" s="22">
        <v>108218.56789999999</v>
      </c>
      <c r="F210" s="23">
        <v>13.008298692</v>
      </c>
      <c r="G210" s="24">
        <f t="shared" si="12"/>
        <v>2.1951119081728883E-10</v>
      </c>
      <c r="H210" s="25">
        <f t="shared" si="14"/>
        <v>1</v>
      </c>
      <c r="I210" s="26">
        <v>132681.98379999999</v>
      </c>
      <c r="J210" s="27">
        <v>4.2603822E-2</v>
      </c>
      <c r="K210" s="28">
        <f t="shared" si="13"/>
        <v>0.22605562431514281</v>
      </c>
      <c r="L210" s="29">
        <f t="shared" si="15"/>
        <v>0</v>
      </c>
    </row>
    <row r="211" spans="2:12" x14ac:dyDescent="0.25">
      <c r="B211" s="43" t="s">
        <v>931</v>
      </c>
      <c r="C211" s="30">
        <v>128278.04816687269</v>
      </c>
      <c r="D211" s="31">
        <v>53.528965812999999</v>
      </c>
      <c r="E211" s="22">
        <v>128278.0482</v>
      </c>
      <c r="F211" s="23">
        <v>3.2340545220000001</v>
      </c>
      <c r="G211" s="24">
        <f t="shared" si="12"/>
        <v>2.5824620093190906E-10</v>
      </c>
      <c r="H211" s="25">
        <f t="shared" si="14"/>
        <v>1</v>
      </c>
      <c r="I211" s="26">
        <v>134483.04500000001</v>
      </c>
      <c r="J211" s="27">
        <v>1.9206213E-2</v>
      </c>
      <c r="K211" s="28">
        <f t="shared" si="13"/>
        <v>4.8371462785709453E-2</v>
      </c>
      <c r="L211" s="29">
        <f t="shared" si="15"/>
        <v>0</v>
      </c>
    </row>
    <row r="212" spans="2:12" x14ac:dyDescent="0.25">
      <c r="B212" s="43" t="s">
        <v>932</v>
      </c>
      <c r="C212" s="30">
        <v>137524.43222157596</v>
      </c>
      <c r="D212" s="31">
        <v>104.84726994</v>
      </c>
      <c r="E212" s="22">
        <v>137524.43220000001</v>
      </c>
      <c r="F212" s="23">
        <v>3.0042527479999999</v>
      </c>
      <c r="G212" s="24">
        <f t="shared" si="12"/>
        <v>-1.5688812335072326E-10</v>
      </c>
      <c r="H212" s="25">
        <f t="shared" si="14"/>
        <v>1</v>
      </c>
      <c r="I212" s="26">
        <v>141517.67069999999</v>
      </c>
      <c r="J212" s="27">
        <v>2.3025515999999999E-2</v>
      </c>
      <c r="K212" s="28">
        <f t="shared" si="13"/>
        <v>2.9036574911941615E-2</v>
      </c>
      <c r="L212" s="29">
        <f t="shared" si="15"/>
        <v>0</v>
      </c>
    </row>
    <row r="213" spans="2:12" x14ac:dyDescent="0.25">
      <c r="B213" s="43" t="s">
        <v>933</v>
      </c>
      <c r="C213" s="30">
        <v>151931.86805837989</v>
      </c>
      <c r="D213" s="31">
        <v>99.348581994</v>
      </c>
      <c r="E213" s="22">
        <v>151931.86809999999</v>
      </c>
      <c r="F213" s="23">
        <v>3.2316149759999999</v>
      </c>
      <c r="G213" s="24">
        <f t="shared" si="12"/>
        <v>2.7393928541471119E-10</v>
      </c>
      <c r="H213" s="25">
        <f t="shared" si="14"/>
        <v>1</v>
      </c>
      <c r="I213" s="26">
        <v>151931.86809999999</v>
      </c>
      <c r="J213" s="27">
        <v>2.0717233000000002E-2</v>
      </c>
      <c r="K213" s="28">
        <f t="shared" si="13"/>
        <v>2.7393928541471119E-10</v>
      </c>
      <c r="L213" s="29">
        <f t="shared" si="15"/>
        <v>1</v>
      </c>
    </row>
    <row r="214" spans="2:12" x14ac:dyDescent="0.25">
      <c r="B214" s="43" t="s">
        <v>934</v>
      </c>
      <c r="C214" s="50">
        <v>119001.58613853616</v>
      </c>
      <c r="D214" s="51">
        <v>224.771938312</v>
      </c>
      <c r="E214" s="22">
        <v>119001.5861</v>
      </c>
      <c r="F214" s="23">
        <v>3.1886422840000002</v>
      </c>
      <c r="G214" s="24">
        <f t="shared" si="12"/>
        <v>-3.2382899152428646E-10</v>
      </c>
      <c r="H214" s="25">
        <f t="shared" si="14"/>
        <v>1</v>
      </c>
      <c r="I214" s="26">
        <v>119001.5861</v>
      </c>
      <c r="J214" s="27">
        <v>1.8202841000000001E-2</v>
      </c>
      <c r="K214" s="28">
        <f t="shared" si="13"/>
        <v>-3.2382899152428646E-10</v>
      </c>
      <c r="L214" s="29">
        <f t="shared" si="15"/>
        <v>1</v>
      </c>
    </row>
    <row r="215" spans="2:12" x14ac:dyDescent="0.25">
      <c r="B215" s="43" t="s">
        <v>935</v>
      </c>
      <c r="C215" s="30">
        <v>178710.8128878682</v>
      </c>
      <c r="D215" s="31">
        <v>83.923170428000006</v>
      </c>
      <c r="E215" s="22">
        <v>178710.81289999999</v>
      </c>
      <c r="F215" s="23">
        <v>2.8655959449999999</v>
      </c>
      <c r="G215" s="24">
        <f t="shared" si="12"/>
        <v>6.7885014961849172E-11</v>
      </c>
      <c r="H215" s="25">
        <f t="shared" si="14"/>
        <v>1</v>
      </c>
      <c r="I215" s="26">
        <v>195687.47159999999</v>
      </c>
      <c r="J215" s="27">
        <v>2.4541696000000002E-2</v>
      </c>
      <c r="K215" s="28">
        <f t="shared" si="13"/>
        <v>9.4995140124978117E-2</v>
      </c>
      <c r="L215" s="29">
        <f t="shared" si="15"/>
        <v>0</v>
      </c>
    </row>
    <row r="216" spans="2:12" x14ac:dyDescent="0.25">
      <c r="B216" s="43" t="s">
        <v>936</v>
      </c>
      <c r="C216" s="30">
        <v>161567.55857041822</v>
      </c>
      <c r="D216" s="31">
        <v>162.21683259299999</v>
      </c>
      <c r="E216" s="22">
        <v>161567.55859999999</v>
      </c>
      <c r="F216" s="23">
        <v>2.764934749</v>
      </c>
      <c r="G216" s="24">
        <f t="shared" si="12"/>
        <v>1.8309228549493215E-10</v>
      </c>
      <c r="H216" s="25">
        <f t="shared" si="14"/>
        <v>1</v>
      </c>
      <c r="I216" s="26">
        <v>170258.5287</v>
      </c>
      <c r="J216" s="27">
        <v>1.9757664000000001E-2</v>
      </c>
      <c r="K216" s="28">
        <f t="shared" si="13"/>
        <v>5.3791554483345577E-2</v>
      </c>
      <c r="L216" s="29">
        <f t="shared" si="15"/>
        <v>0</v>
      </c>
    </row>
    <row r="217" spans="2:12" x14ac:dyDescent="0.25">
      <c r="B217" s="43" t="s">
        <v>937</v>
      </c>
      <c r="C217" s="30">
        <v>186340.73361494896</v>
      </c>
      <c r="D217" s="31">
        <v>136.92512990200001</v>
      </c>
      <c r="E217" s="22">
        <v>186340.73360000001</v>
      </c>
      <c r="F217" s="23">
        <v>2.700618339</v>
      </c>
      <c r="G217" s="24">
        <f t="shared" si="12"/>
        <v>-8.0223735269540395E-11</v>
      </c>
      <c r="H217" s="25">
        <f t="shared" si="14"/>
        <v>1</v>
      </c>
      <c r="I217" s="26">
        <v>200061.25219999999</v>
      </c>
      <c r="J217" s="27">
        <v>2.0813114000000001E-2</v>
      </c>
      <c r="K217" s="28">
        <f t="shared" si="13"/>
        <v>7.3631343608439676E-2</v>
      </c>
      <c r="L217" s="29">
        <f t="shared" si="15"/>
        <v>0</v>
      </c>
    </row>
    <row r="218" spans="2:12" x14ac:dyDescent="0.25">
      <c r="B218" s="43" t="s">
        <v>938</v>
      </c>
      <c r="C218" s="30">
        <v>147839.9705562664</v>
      </c>
      <c r="D218" s="31">
        <v>61.441969741000001</v>
      </c>
      <c r="E218" s="22">
        <v>147839.9706</v>
      </c>
      <c r="F218" s="23">
        <v>2.926880046</v>
      </c>
      <c r="G218" s="24">
        <f t="shared" si="12"/>
        <v>2.9581714787292758E-10</v>
      </c>
      <c r="H218" s="25">
        <f t="shared" si="14"/>
        <v>1</v>
      </c>
      <c r="I218" s="26">
        <v>151866.71609999999</v>
      </c>
      <c r="J218" s="27">
        <v>2.2773650999999999E-2</v>
      </c>
      <c r="K218" s="28">
        <f t="shared" si="13"/>
        <v>2.7237191191140354E-2</v>
      </c>
      <c r="L218" s="29">
        <f t="shared" si="15"/>
        <v>0</v>
      </c>
    </row>
    <row r="219" spans="2:12" x14ac:dyDescent="0.25">
      <c r="B219" s="43" t="s">
        <v>939</v>
      </c>
      <c r="C219" s="30">
        <v>167862.92920410974</v>
      </c>
      <c r="D219" s="31">
        <v>187.37740821200001</v>
      </c>
      <c r="E219" s="22">
        <v>167862.92920000001</v>
      </c>
      <c r="F219" s="23">
        <v>3.3716976810000001</v>
      </c>
      <c r="G219" s="24">
        <f t="shared" si="12"/>
        <v>-2.4482610987728983E-11</v>
      </c>
      <c r="H219" s="25">
        <f t="shared" si="14"/>
        <v>1</v>
      </c>
      <c r="I219" s="26">
        <v>193234.3161</v>
      </c>
      <c r="J219" s="27">
        <v>2.1968864000000001E-2</v>
      </c>
      <c r="K219" s="28">
        <f t="shared" si="13"/>
        <v>0.15114347769447301</v>
      </c>
      <c r="L219" s="29">
        <f t="shared" si="15"/>
        <v>0</v>
      </c>
    </row>
    <row r="220" spans="2:12" x14ac:dyDescent="0.25">
      <c r="B220" s="43" t="s">
        <v>940</v>
      </c>
      <c r="C220" s="30">
        <v>167641.31326876755</v>
      </c>
      <c r="D220" s="31">
        <v>69.487174848999999</v>
      </c>
      <c r="E220" s="22">
        <v>167641.31330000001</v>
      </c>
      <c r="F220" s="23">
        <v>2.8697838670000002</v>
      </c>
      <c r="G220" s="24">
        <f t="shared" si="12"/>
        <v>1.8630524244603086E-10</v>
      </c>
      <c r="H220" s="25">
        <f t="shared" si="14"/>
        <v>1</v>
      </c>
      <c r="I220" s="26">
        <v>179853.18479999999</v>
      </c>
      <c r="J220" s="27">
        <v>3.8372100999999999E-2</v>
      </c>
      <c r="K220" s="28">
        <f t="shared" si="13"/>
        <v>7.2845238999374798E-2</v>
      </c>
      <c r="L220" s="29">
        <f t="shared" si="15"/>
        <v>0</v>
      </c>
    </row>
    <row r="221" spans="2:12" x14ac:dyDescent="0.25">
      <c r="B221" s="43" t="s">
        <v>941</v>
      </c>
      <c r="C221" s="30">
        <v>127265.92959092054</v>
      </c>
      <c r="D221" s="31">
        <v>169.28223868399999</v>
      </c>
      <c r="E221" s="22">
        <v>127265.9296</v>
      </c>
      <c r="F221" s="23">
        <v>6.1798618259999998</v>
      </c>
      <c r="G221" s="24">
        <f t="shared" si="12"/>
        <v>7.1342454411098338E-11</v>
      </c>
      <c r="H221" s="25">
        <f t="shared" si="14"/>
        <v>1</v>
      </c>
      <c r="I221" s="26">
        <v>151895.9914</v>
      </c>
      <c r="J221" s="27">
        <v>3.1156702000000001E-2</v>
      </c>
      <c r="K221" s="28">
        <f t="shared" si="13"/>
        <v>0.19353225084081441</v>
      </c>
      <c r="L221" s="29">
        <f t="shared" si="15"/>
        <v>0</v>
      </c>
    </row>
    <row r="222" spans="2:12" x14ac:dyDescent="0.25">
      <c r="B222" s="43" t="s">
        <v>942</v>
      </c>
      <c r="C222" s="30">
        <v>141575.29508029271</v>
      </c>
      <c r="D222" s="31">
        <v>174.61516155300001</v>
      </c>
      <c r="E222" s="22">
        <v>141575.29509999999</v>
      </c>
      <c r="F222" s="23">
        <v>5.1208654109999996</v>
      </c>
      <c r="G222" s="24">
        <f t="shared" si="12"/>
        <v>1.3919999554162714E-10</v>
      </c>
      <c r="H222" s="25">
        <f t="shared" si="14"/>
        <v>1</v>
      </c>
      <c r="I222" s="26">
        <v>161575.57399999999</v>
      </c>
      <c r="J222" s="27">
        <v>3.8337214000000001E-2</v>
      </c>
      <c r="K222" s="28">
        <f t="shared" si="13"/>
        <v>0.14126955489207613</v>
      </c>
      <c r="L222" s="29">
        <f t="shared" si="15"/>
        <v>0</v>
      </c>
    </row>
    <row r="223" spans="2:12" x14ac:dyDescent="0.25">
      <c r="B223" s="43" t="s">
        <v>943</v>
      </c>
      <c r="C223" s="30">
        <v>153863.98812654067</v>
      </c>
      <c r="D223" s="31">
        <v>161.55091258900001</v>
      </c>
      <c r="E223" s="22">
        <v>153863.98809999999</v>
      </c>
      <c r="F223" s="23">
        <v>5.4665759700000001</v>
      </c>
      <c r="G223" s="24">
        <f t="shared" si="12"/>
        <v>-1.7249445783513721E-10</v>
      </c>
      <c r="H223" s="25">
        <f t="shared" si="14"/>
        <v>1</v>
      </c>
      <c r="I223" s="26">
        <v>181961.34789999999</v>
      </c>
      <c r="J223" s="27">
        <v>3.1497644999999998E-2</v>
      </c>
      <c r="K223" s="28">
        <f t="shared" si="13"/>
        <v>0.18261166966731368</v>
      </c>
      <c r="L223" s="29">
        <f t="shared" si="15"/>
        <v>0</v>
      </c>
    </row>
    <row r="224" spans="2:12" x14ac:dyDescent="0.25">
      <c r="B224" s="43" t="s">
        <v>944</v>
      </c>
      <c r="C224" s="30">
        <v>118219.30214402288</v>
      </c>
      <c r="D224" s="31">
        <v>114.019559742</v>
      </c>
      <c r="E224" s="22">
        <v>118219.3021</v>
      </c>
      <c r="F224" s="23">
        <v>5.3692446739999999</v>
      </c>
      <c r="G224" s="24">
        <f t="shared" si="12"/>
        <v>-3.7238314857217928E-10</v>
      </c>
      <c r="H224" s="25">
        <f t="shared" si="14"/>
        <v>1</v>
      </c>
      <c r="I224" s="26">
        <v>140207.89439999999</v>
      </c>
      <c r="J224" s="27">
        <v>2.6317124000000001E-2</v>
      </c>
      <c r="K224" s="28">
        <f t="shared" si="13"/>
        <v>0.18599832563035348</v>
      </c>
      <c r="L224" s="29">
        <f t="shared" si="15"/>
        <v>0</v>
      </c>
    </row>
    <row r="225" spans="2:12" x14ac:dyDescent="0.25">
      <c r="B225" s="43" t="s">
        <v>945</v>
      </c>
      <c r="C225" s="30">
        <v>111372.30193274452</v>
      </c>
      <c r="D225" s="31">
        <v>146.29623108499999</v>
      </c>
      <c r="E225" s="22">
        <v>111372.30190000001</v>
      </c>
      <c r="F225" s="23">
        <v>4.6344790160000002</v>
      </c>
      <c r="G225" s="24">
        <f t="shared" si="12"/>
        <v>-2.9400951001113043E-10</v>
      </c>
      <c r="H225" s="25">
        <f t="shared" si="14"/>
        <v>1</v>
      </c>
      <c r="I225" s="26">
        <v>133358.73060000001</v>
      </c>
      <c r="J225" s="27">
        <v>2.560985E-2</v>
      </c>
      <c r="K225" s="28">
        <f t="shared" si="13"/>
        <v>0.19741379396586997</v>
      </c>
      <c r="L225" s="29">
        <f t="shared" si="15"/>
        <v>0</v>
      </c>
    </row>
    <row r="226" spans="2:12" x14ac:dyDescent="0.25">
      <c r="B226" s="43" t="s">
        <v>946</v>
      </c>
      <c r="C226" s="30">
        <v>159527.97860156893</v>
      </c>
      <c r="D226" s="31">
        <v>101.759766145</v>
      </c>
      <c r="E226" s="22">
        <v>159527.9786</v>
      </c>
      <c r="F226" s="23">
        <v>5.6830426679999997</v>
      </c>
      <c r="G226" s="24">
        <f t="shared" si="12"/>
        <v>-9.8348221171917388E-12</v>
      </c>
      <c r="H226" s="25">
        <f t="shared" si="14"/>
        <v>1</v>
      </c>
      <c r="I226" s="26">
        <v>173903.17850000001</v>
      </c>
      <c r="J226" s="27">
        <v>3.5478953000000001E-2</v>
      </c>
      <c r="K226" s="28">
        <f t="shared" si="13"/>
        <v>9.0110838389885414E-2</v>
      </c>
      <c r="L226" s="29">
        <f t="shared" si="15"/>
        <v>0</v>
      </c>
    </row>
    <row r="227" spans="2:12" x14ac:dyDescent="0.25">
      <c r="B227" s="43" t="s">
        <v>947</v>
      </c>
      <c r="C227" s="30">
        <v>148400.27450529495</v>
      </c>
      <c r="D227" s="31">
        <v>165.016758778</v>
      </c>
      <c r="E227" s="22">
        <v>148400.2745</v>
      </c>
      <c r="F227" s="23">
        <v>5.0865041550000001</v>
      </c>
      <c r="G227" s="24">
        <f t="shared" si="12"/>
        <v>-3.568017110572129E-11</v>
      </c>
      <c r="H227" s="25">
        <f t="shared" si="14"/>
        <v>1</v>
      </c>
      <c r="I227" s="26">
        <v>160816.9504</v>
      </c>
      <c r="J227" s="27">
        <v>2.5884118000000001E-2</v>
      </c>
      <c r="K227" s="28">
        <f t="shared" si="13"/>
        <v>8.367016797035659E-2</v>
      </c>
      <c r="L227" s="29">
        <f t="shared" si="15"/>
        <v>0</v>
      </c>
    </row>
    <row r="228" spans="2:12" x14ac:dyDescent="0.25">
      <c r="B228" s="43" t="s">
        <v>948</v>
      </c>
      <c r="C228" s="30">
        <v>139726.73174091266</v>
      </c>
      <c r="D228" s="31">
        <v>154.05198431299999</v>
      </c>
      <c r="E228" s="22">
        <v>139726.7317</v>
      </c>
      <c r="F228" s="23">
        <v>5.5164936679999999</v>
      </c>
      <c r="G228" s="24">
        <f t="shared" si="12"/>
        <v>-2.9280475501820578E-10</v>
      </c>
      <c r="H228" s="25">
        <f t="shared" si="14"/>
        <v>1</v>
      </c>
      <c r="I228" s="26">
        <v>157092.56210000001</v>
      </c>
      <c r="J228" s="27">
        <v>5.1198821999999998E-2</v>
      </c>
      <c r="K228" s="28">
        <f t="shared" si="13"/>
        <v>0.12428423783136808</v>
      </c>
      <c r="L228" s="29">
        <f t="shared" si="15"/>
        <v>0</v>
      </c>
    </row>
    <row r="229" spans="2:12" x14ac:dyDescent="0.25">
      <c r="B229" s="43" t="s">
        <v>949</v>
      </c>
      <c r="C229" s="30">
        <v>144131.83917317312</v>
      </c>
      <c r="D229" s="31">
        <v>155.598069842</v>
      </c>
      <c r="E229" s="22">
        <v>144131.83919999999</v>
      </c>
      <c r="F229" s="23">
        <v>4.9357574770000001</v>
      </c>
      <c r="G229" s="24">
        <f t="shared" si="12"/>
        <v>1.861272521811676E-10</v>
      </c>
      <c r="H229" s="25">
        <f t="shared" si="14"/>
        <v>1</v>
      </c>
      <c r="I229" s="26">
        <v>188435.63459999999</v>
      </c>
      <c r="J229" s="27">
        <v>3.2083180000000003E-2</v>
      </c>
      <c r="K229" s="28">
        <f t="shared" si="13"/>
        <v>0.30738382081974441</v>
      </c>
      <c r="L229" s="29">
        <f t="shared" si="15"/>
        <v>0</v>
      </c>
    </row>
    <row r="230" spans="2:12" x14ac:dyDescent="0.25">
      <c r="B230" s="43" t="s">
        <v>950</v>
      </c>
      <c r="C230" s="30">
        <v>106866.62157929588</v>
      </c>
      <c r="D230" s="31">
        <v>146.79862034499999</v>
      </c>
      <c r="E230" s="22">
        <v>106866.6216</v>
      </c>
      <c r="F230" s="23">
        <v>6.5897512679999997</v>
      </c>
      <c r="G230" s="24">
        <f t="shared" si="12"/>
        <v>1.9373790838510094E-10</v>
      </c>
      <c r="H230" s="25">
        <f t="shared" si="14"/>
        <v>1</v>
      </c>
      <c r="I230" s="26">
        <v>121094.8458</v>
      </c>
      <c r="J230" s="27">
        <v>2.6427353000000001E-2</v>
      </c>
      <c r="K230" s="28">
        <f t="shared" si="13"/>
        <v>0.13314002080758824</v>
      </c>
      <c r="L230" s="29">
        <f t="shared" si="15"/>
        <v>0</v>
      </c>
    </row>
    <row r="231" spans="2:12" x14ac:dyDescent="0.25">
      <c r="B231" s="43" t="s">
        <v>951</v>
      </c>
      <c r="C231" s="30">
        <v>106530.92649205335</v>
      </c>
      <c r="D231" s="31">
        <v>186.30381552200001</v>
      </c>
      <c r="E231" s="22">
        <v>106530.9265</v>
      </c>
      <c r="F231" s="23">
        <v>8.8025211409999997</v>
      </c>
      <c r="G231" s="24">
        <f t="shared" si="12"/>
        <v>7.4594820947620631E-11</v>
      </c>
      <c r="H231" s="25">
        <f t="shared" si="14"/>
        <v>1</v>
      </c>
      <c r="I231" s="26">
        <v>131563.45790000001</v>
      </c>
      <c r="J231" s="27">
        <v>3.3139302000000002E-2</v>
      </c>
      <c r="K231" s="28">
        <f t="shared" si="13"/>
        <v>0.23497900780778397</v>
      </c>
      <c r="L231" s="29">
        <f t="shared" si="15"/>
        <v>0</v>
      </c>
    </row>
    <row r="232" spans="2:12" x14ac:dyDescent="0.25">
      <c r="B232" s="43" t="s">
        <v>952</v>
      </c>
      <c r="C232" s="30">
        <v>121641.30396176664</v>
      </c>
      <c r="D232" s="31">
        <v>211.189929079</v>
      </c>
      <c r="E232" s="22">
        <v>121641.304</v>
      </c>
      <c r="F232" s="23">
        <v>8.5719947160000007</v>
      </c>
      <c r="G232" s="24">
        <f t="shared" si="12"/>
        <v>3.1431237689607499E-10</v>
      </c>
      <c r="H232" s="25">
        <f t="shared" si="14"/>
        <v>1</v>
      </c>
      <c r="I232" s="26">
        <v>157816.0485</v>
      </c>
      <c r="J232" s="27">
        <v>4.6879746E-2</v>
      </c>
      <c r="K232" s="28">
        <f t="shared" si="13"/>
        <v>0.29738866125278907</v>
      </c>
      <c r="L232" s="29">
        <f t="shared" si="15"/>
        <v>0</v>
      </c>
    </row>
    <row r="233" spans="2:12" x14ac:dyDescent="0.25">
      <c r="B233" s="43" t="s">
        <v>953</v>
      </c>
      <c r="C233" s="30">
        <v>136968.54064198252</v>
      </c>
      <c r="D233" s="31">
        <v>183.40973767899999</v>
      </c>
      <c r="E233" s="22">
        <v>136968.54060000001</v>
      </c>
      <c r="F233" s="23">
        <v>7.5235161120000003</v>
      </c>
      <c r="G233" s="24">
        <f t="shared" si="12"/>
        <v>-3.0651205063371955E-10</v>
      </c>
      <c r="H233" s="25">
        <f t="shared" si="14"/>
        <v>1</v>
      </c>
      <c r="I233" s="26">
        <v>164636.77179999999</v>
      </c>
      <c r="J233" s="27">
        <v>5.2598893000000001E-2</v>
      </c>
      <c r="K233" s="28">
        <f t="shared" si="13"/>
        <v>0.20200427797751408</v>
      </c>
      <c r="L233" s="29">
        <f t="shared" si="15"/>
        <v>0</v>
      </c>
    </row>
    <row r="234" spans="2:12" x14ac:dyDescent="0.25">
      <c r="B234" s="43" t="s">
        <v>954</v>
      </c>
      <c r="C234" s="30">
        <v>101550.3021277334</v>
      </c>
      <c r="D234" s="31">
        <v>175.15172534000001</v>
      </c>
      <c r="E234" s="22">
        <v>101550.3021</v>
      </c>
      <c r="F234" s="23">
        <v>8.3107425280000005</v>
      </c>
      <c r="G234" s="24">
        <f t="shared" si="12"/>
        <v>-2.7310016079733806E-10</v>
      </c>
      <c r="H234" s="25">
        <f t="shared" si="14"/>
        <v>1</v>
      </c>
      <c r="I234" s="26">
        <v>111011.06020000001</v>
      </c>
      <c r="J234" s="27">
        <v>4.5869350000000003E-2</v>
      </c>
      <c r="K234" s="28">
        <f t="shared" si="13"/>
        <v>9.3163268587488204E-2</v>
      </c>
      <c r="L234" s="29">
        <f t="shared" si="15"/>
        <v>0</v>
      </c>
    </row>
    <row r="235" spans="2:12" x14ac:dyDescent="0.25">
      <c r="B235" s="43" t="s">
        <v>955</v>
      </c>
      <c r="C235" s="30">
        <v>110569.79719967778</v>
      </c>
      <c r="D235" s="31">
        <v>182.16025341299999</v>
      </c>
      <c r="E235" s="22">
        <v>110569.7972</v>
      </c>
      <c r="F235" s="23">
        <v>8.4894198860000003</v>
      </c>
      <c r="G235" s="24">
        <f t="shared" si="12"/>
        <v>2.9142050276154998E-12</v>
      </c>
      <c r="H235" s="25">
        <f t="shared" si="14"/>
        <v>1</v>
      </c>
      <c r="I235" s="26">
        <v>117226.7243</v>
      </c>
      <c r="J235" s="27">
        <v>3.4880215999999999E-2</v>
      </c>
      <c r="K235" s="28">
        <f t="shared" si="13"/>
        <v>6.0205655331903092E-2</v>
      </c>
      <c r="L235" s="29">
        <f t="shared" si="15"/>
        <v>0</v>
      </c>
    </row>
    <row r="236" spans="2:12" x14ac:dyDescent="0.25">
      <c r="B236" s="43" t="s">
        <v>956</v>
      </c>
      <c r="C236" s="30">
        <v>134294.1191963953</v>
      </c>
      <c r="D236" s="31">
        <v>174.654110108</v>
      </c>
      <c r="E236" s="22">
        <v>134294.11919999999</v>
      </c>
      <c r="F236" s="23">
        <v>7.5358630700000004</v>
      </c>
      <c r="G236" s="24">
        <f t="shared" si="12"/>
        <v>2.6841711659597123E-11</v>
      </c>
      <c r="H236" s="25">
        <f t="shared" si="14"/>
        <v>1</v>
      </c>
      <c r="I236" s="26">
        <v>148669.22270000001</v>
      </c>
      <c r="J236" s="27">
        <v>3.4434485000000001E-2</v>
      </c>
      <c r="K236" s="28">
        <f t="shared" si="13"/>
        <v>0.10704194338236193</v>
      </c>
      <c r="L236" s="29">
        <f t="shared" si="15"/>
        <v>0</v>
      </c>
    </row>
    <row r="237" spans="2:12" x14ac:dyDescent="0.25">
      <c r="B237" s="43" t="s">
        <v>957</v>
      </c>
      <c r="C237" s="30">
        <v>104371.69625111937</v>
      </c>
      <c r="D237" s="31">
        <v>113.727363361</v>
      </c>
      <c r="E237" s="22">
        <v>104371.6963</v>
      </c>
      <c r="F237" s="23">
        <v>6.8501377899999998</v>
      </c>
      <c r="G237" s="24">
        <f t="shared" si="12"/>
        <v>4.6833219307036664E-10</v>
      </c>
      <c r="H237" s="25">
        <f t="shared" si="14"/>
        <v>1</v>
      </c>
      <c r="I237" s="26">
        <v>133468.04120000001</v>
      </c>
      <c r="J237" s="27">
        <v>4.2062690999999999E-2</v>
      </c>
      <c r="K237" s="28">
        <f t="shared" si="13"/>
        <v>0.27877620077070064</v>
      </c>
      <c r="L237" s="29">
        <f t="shared" si="15"/>
        <v>0</v>
      </c>
    </row>
    <row r="238" spans="2:12" x14ac:dyDescent="0.25">
      <c r="B238" s="43" t="s">
        <v>958</v>
      </c>
      <c r="C238" s="30">
        <v>109215.23354981675</v>
      </c>
      <c r="D238" s="31">
        <v>144.838683887</v>
      </c>
      <c r="E238" s="22">
        <v>109215.2335</v>
      </c>
      <c r="F238" s="23">
        <v>8.1406298899999996</v>
      </c>
      <c r="G238" s="24">
        <f t="shared" si="12"/>
        <v>-4.5613371401782188E-10</v>
      </c>
      <c r="H238" s="25">
        <f t="shared" si="14"/>
        <v>1</v>
      </c>
      <c r="I238" s="26">
        <v>150708.14259999999</v>
      </c>
      <c r="J238" s="27">
        <v>5.5283314E-2</v>
      </c>
      <c r="K238" s="28">
        <f t="shared" si="13"/>
        <v>0.37991869541950779</v>
      </c>
      <c r="L238" s="29">
        <f t="shared" si="15"/>
        <v>0</v>
      </c>
    </row>
    <row r="239" spans="2:12" x14ac:dyDescent="0.25">
      <c r="B239" s="43" t="s">
        <v>959</v>
      </c>
      <c r="C239" s="30">
        <v>108473.08435565401</v>
      </c>
      <c r="D239" s="31">
        <v>178.91439235300001</v>
      </c>
      <c r="E239" s="22">
        <v>108473.08440000001</v>
      </c>
      <c r="F239" s="23">
        <v>10.801904216000001</v>
      </c>
      <c r="G239" s="24">
        <f t="shared" si="12"/>
        <v>4.0882032160756417E-10</v>
      </c>
      <c r="H239" s="25">
        <f t="shared" si="14"/>
        <v>1</v>
      </c>
      <c r="I239" s="26">
        <v>138173.3541</v>
      </c>
      <c r="J239" s="27">
        <v>3.4574428999999997E-2</v>
      </c>
      <c r="K239" s="28">
        <f t="shared" si="13"/>
        <v>0.27380312748337471</v>
      </c>
      <c r="L239" s="29">
        <f t="shared" si="15"/>
        <v>0</v>
      </c>
    </row>
    <row r="240" spans="2:12" x14ac:dyDescent="0.25">
      <c r="B240" s="43" t="s">
        <v>960</v>
      </c>
      <c r="C240" s="30">
        <v>121700.57793290935</v>
      </c>
      <c r="D240" s="31">
        <v>321.99208846200003</v>
      </c>
      <c r="E240" s="22">
        <v>122166.4522</v>
      </c>
      <c r="F240" s="23">
        <v>9.7514605680000006</v>
      </c>
      <c r="G240" s="24">
        <f t="shared" si="12"/>
        <v>3.8280366042918535E-3</v>
      </c>
      <c r="H240" s="25">
        <f t="shared" si="14"/>
        <v>0</v>
      </c>
      <c r="I240" s="26">
        <v>150845.65849999999</v>
      </c>
      <c r="J240" s="27">
        <v>4.3483010000000002E-2</v>
      </c>
      <c r="K240" s="28">
        <f t="shared" si="13"/>
        <v>0.23948185836190222</v>
      </c>
      <c r="L240" s="29">
        <f t="shared" si="15"/>
        <v>0</v>
      </c>
    </row>
    <row r="241" spans="2:12" x14ac:dyDescent="0.25">
      <c r="B241" s="43" t="s">
        <v>961</v>
      </c>
      <c r="C241" s="30">
        <v>101276.31485841233</v>
      </c>
      <c r="D241" s="31">
        <v>155.50322651900001</v>
      </c>
      <c r="E241" s="22">
        <v>101276.3149</v>
      </c>
      <c r="F241" s="23">
        <v>12.383748071999999</v>
      </c>
      <c r="G241" s="24">
        <f t="shared" si="12"/>
        <v>4.1063570694423172E-10</v>
      </c>
      <c r="H241" s="25">
        <f t="shared" si="14"/>
        <v>1</v>
      </c>
      <c r="I241" s="26">
        <v>116440.3392</v>
      </c>
      <c r="J241" s="27">
        <v>4.0633514000000003E-2</v>
      </c>
      <c r="K241" s="28">
        <f t="shared" si="13"/>
        <v>0.14972922704373168</v>
      </c>
      <c r="L241" s="29">
        <f t="shared" si="15"/>
        <v>0</v>
      </c>
    </row>
    <row r="242" spans="2:12" x14ac:dyDescent="0.25">
      <c r="B242" s="43" t="s">
        <v>962</v>
      </c>
      <c r="C242" s="30">
        <v>93890.55440017613</v>
      </c>
      <c r="D242" s="31">
        <v>143.99773803100001</v>
      </c>
      <c r="E242" s="22">
        <v>93890.554399999994</v>
      </c>
      <c r="F242" s="23">
        <v>12.605382282000001</v>
      </c>
      <c r="G242" s="24">
        <f t="shared" si="12"/>
        <v>-1.8759755233037794E-12</v>
      </c>
      <c r="H242" s="25">
        <f t="shared" si="14"/>
        <v>1</v>
      </c>
      <c r="I242" s="26">
        <v>112570.15760000001</v>
      </c>
      <c r="J242" s="27">
        <v>4.5681315E-2</v>
      </c>
      <c r="K242" s="28">
        <f t="shared" si="13"/>
        <v>0.19895082438440512</v>
      </c>
      <c r="L242" s="29">
        <f t="shared" si="15"/>
        <v>0</v>
      </c>
    </row>
    <row r="243" spans="2:12" x14ac:dyDescent="0.25">
      <c r="B243" s="43" t="s">
        <v>963</v>
      </c>
      <c r="C243" s="30">
        <v>92138.889034102918</v>
      </c>
      <c r="D243" s="31">
        <v>269.07810663399999</v>
      </c>
      <c r="E243" s="22">
        <v>92138.888999999996</v>
      </c>
      <c r="F243" s="23">
        <v>10.350708034</v>
      </c>
      <c r="G243" s="24">
        <f t="shared" si="12"/>
        <v>-3.7012517745995791E-10</v>
      </c>
      <c r="H243" s="25">
        <f t="shared" si="14"/>
        <v>1</v>
      </c>
      <c r="I243" s="26">
        <v>110635.7837</v>
      </c>
      <c r="J243" s="27">
        <v>5.8499341000000003E-2</v>
      </c>
      <c r="K243" s="28">
        <f t="shared" si="13"/>
        <v>0.2007501377518337</v>
      </c>
      <c r="L243" s="29">
        <f t="shared" si="15"/>
        <v>0</v>
      </c>
    </row>
    <row r="244" spans="2:12" x14ac:dyDescent="0.25">
      <c r="B244" s="43" t="s">
        <v>964</v>
      </c>
      <c r="C244" s="30">
        <v>71513.624524956525</v>
      </c>
      <c r="D244" s="31">
        <v>125.26442138900001</v>
      </c>
      <c r="E244" s="22">
        <v>71513.624500000005</v>
      </c>
      <c r="F244" s="23">
        <v>14.174006599</v>
      </c>
      <c r="G244" s="24">
        <f t="shared" si="12"/>
        <v>-3.4897574036433714E-10</v>
      </c>
      <c r="H244" s="25">
        <f t="shared" si="14"/>
        <v>1</v>
      </c>
      <c r="I244" s="26">
        <v>93332.559200000003</v>
      </c>
      <c r="J244" s="27">
        <v>4.1618754000000001E-2</v>
      </c>
      <c r="K244" s="28">
        <f t="shared" si="13"/>
        <v>0.30510178752622441</v>
      </c>
      <c r="L244" s="29">
        <f t="shared" si="15"/>
        <v>0</v>
      </c>
    </row>
    <row r="245" spans="2:12" x14ac:dyDescent="0.25">
      <c r="B245" s="43" t="s">
        <v>965</v>
      </c>
      <c r="C245" s="30">
        <v>96992.112153848182</v>
      </c>
      <c r="D245" s="31">
        <v>139.299663735</v>
      </c>
      <c r="E245" s="22">
        <v>96992.112200000003</v>
      </c>
      <c r="F245" s="23">
        <v>11.313059791000001</v>
      </c>
      <c r="G245" s="24">
        <f t="shared" si="12"/>
        <v>4.7583066424104066E-10</v>
      </c>
      <c r="H245" s="25">
        <f t="shared" si="14"/>
        <v>1</v>
      </c>
      <c r="I245" s="26">
        <v>108922.46920000001</v>
      </c>
      <c r="J245" s="27">
        <v>5.2227962000000003E-2</v>
      </c>
      <c r="K245" s="28">
        <f t="shared" si="13"/>
        <v>0.12300337399837194</v>
      </c>
      <c r="L245" s="29">
        <f t="shared" si="15"/>
        <v>0</v>
      </c>
    </row>
    <row r="246" spans="2:12" x14ac:dyDescent="0.25">
      <c r="B246" s="43" t="s">
        <v>966</v>
      </c>
      <c r="C246" s="30">
        <v>124660.28605626617</v>
      </c>
      <c r="D246" s="31">
        <v>144.206369833</v>
      </c>
      <c r="E246" s="22">
        <v>124660.2861</v>
      </c>
      <c r="F246" s="23">
        <v>10.380451462</v>
      </c>
      <c r="G246" s="24">
        <f t="shared" si="12"/>
        <v>3.5082408877576655E-10</v>
      </c>
      <c r="H246" s="25">
        <f t="shared" si="14"/>
        <v>1</v>
      </c>
      <c r="I246" s="26">
        <v>154148.3989</v>
      </c>
      <c r="J246" s="27">
        <v>5.6589258000000003E-2</v>
      </c>
      <c r="K246" s="28">
        <f t="shared" si="13"/>
        <v>0.23654777136019242</v>
      </c>
      <c r="L246" s="29">
        <f t="shared" si="15"/>
        <v>0</v>
      </c>
    </row>
    <row r="247" spans="2:12" x14ac:dyDescent="0.25">
      <c r="B247" s="43" t="s">
        <v>967</v>
      </c>
      <c r="C247" s="30">
        <v>109841.98815484215</v>
      </c>
      <c r="D247" s="31">
        <v>160.71881316400001</v>
      </c>
      <c r="E247" s="22">
        <v>109841.98820000001</v>
      </c>
      <c r="F247" s="23">
        <v>11.235720712000001</v>
      </c>
      <c r="G247" s="24">
        <f t="shared" si="12"/>
        <v>4.1111648961574995E-10</v>
      </c>
      <c r="H247" s="25">
        <f t="shared" si="14"/>
        <v>1</v>
      </c>
      <c r="I247" s="26">
        <v>144693.50659999999</v>
      </c>
      <c r="J247" s="27">
        <v>6.5732862000000003E-2</v>
      </c>
      <c r="K247" s="28">
        <f t="shared" si="13"/>
        <v>0.3172877606332864</v>
      </c>
      <c r="L247" s="29">
        <f t="shared" si="15"/>
        <v>0</v>
      </c>
    </row>
    <row r="248" spans="2:12" x14ac:dyDescent="0.25">
      <c r="B248" s="43" t="s">
        <v>968</v>
      </c>
      <c r="C248" s="30">
        <v>128079.31430132275</v>
      </c>
      <c r="D248" s="31">
        <v>161.56733891900001</v>
      </c>
      <c r="E248" s="22">
        <v>128079.3143</v>
      </c>
      <c r="F248" s="23">
        <v>10.067343384000001</v>
      </c>
      <c r="G248" s="24">
        <f t="shared" si="12"/>
        <v>-1.0327620424570446E-11</v>
      </c>
      <c r="H248" s="25">
        <f t="shared" si="14"/>
        <v>1</v>
      </c>
      <c r="I248" s="26">
        <v>165907.28109999999</v>
      </c>
      <c r="J248" s="27">
        <v>6.0317249000000003E-2</v>
      </c>
      <c r="K248" s="28">
        <f t="shared" si="13"/>
        <v>0.29534798031227877</v>
      </c>
      <c r="L248" s="29">
        <f t="shared" si="15"/>
        <v>0</v>
      </c>
    </row>
    <row r="249" spans="2:12" x14ac:dyDescent="0.25">
      <c r="B249" s="43" t="s">
        <v>969</v>
      </c>
      <c r="C249" s="30">
        <v>96181.531407291404</v>
      </c>
      <c r="D249" s="31">
        <v>212.735579204</v>
      </c>
      <c r="E249" s="22">
        <v>96181.531400000007</v>
      </c>
      <c r="F249" s="23">
        <v>11.287885635</v>
      </c>
      <c r="G249" s="24">
        <f t="shared" si="12"/>
        <v>-7.5808703495939253E-11</v>
      </c>
      <c r="H249" s="25">
        <f t="shared" si="14"/>
        <v>1</v>
      </c>
      <c r="I249" s="26">
        <v>118967.6872</v>
      </c>
      <c r="J249" s="27">
        <v>4.5493501999999998E-2</v>
      </c>
      <c r="K249" s="28">
        <f t="shared" si="13"/>
        <v>0.2369078081759593</v>
      </c>
      <c r="L249" s="29">
        <f t="shared" si="15"/>
        <v>0</v>
      </c>
    </row>
    <row r="250" spans="2:12" ht="15.75" thickBot="1" x14ac:dyDescent="0.3">
      <c r="B250" s="44" t="s">
        <v>970</v>
      </c>
      <c r="C250" s="45">
        <v>103739.45643862178</v>
      </c>
      <c r="D250" s="46">
        <v>116.180599327</v>
      </c>
      <c r="E250" s="22">
        <v>103739.4564</v>
      </c>
      <c r="F250" s="23">
        <v>9.9936317940000006</v>
      </c>
      <c r="G250" s="24">
        <f t="shared" si="12"/>
        <v>-3.7229602336587572E-10</v>
      </c>
      <c r="H250" s="25">
        <f t="shared" si="14"/>
        <v>1</v>
      </c>
      <c r="I250" s="26">
        <v>111178.2739</v>
      </c>
      <c r="J250" s="27">
        <v>4.4119859999999997E-2</v>
      </c>
      <c r="K250" s="28">
        <f t="shared" si="13"/>
        <v>7.170673258519962E-2</v>
      </c>
      <c r="L250" s="29">
        <f t="shared" si="15"/>
        <v>0</v>
      </c>
    </row>
    <row r="251" spans="2:12" ht="15.75" thickBot="1" x14ac:dyDescent="0.3">
      <c r="C251" s="48">
        <f>AVERAGE(C131:C250)</f>
        <v>126330.09675931852</v>
      </c>
      <c r="D251" s="47">
        <f>AVERAGE(D131:D250)</f>
        <v>132.52079030581666</v>
      </c>
      <c r="E251" s="35">
        <f>AVERAGE(E131:E250)</f>
        <v>126338.04068416666</v>
      </c>
      <c r="F251" s="35">
        <f>AVERAGE(F131:F250)</f>
        <v>7.3253386901416642</v>
      </c>
      <c r="G251" s="36">
        <f>AVERAGE(G131:G250)</f>
        <v>7.4028484862431729E-5</v>
      </c>
      <c r="H251" s="37">
        <f>SUM(H131:H250)</f>
        <v>118</v>
      </c>
      <c r="I251" s="38">
        <f>AVERAGE(I131:I250)</f>
        <v>147393.10811999999</v>
      </c>
      <c r="J251" s="38">
        <f>AVERAGE(J131:J250)</f>
        <v>3.773183272499999E-2</v>
      </c>
      <c r="K251" s="39">
        <f>AVERAGE(K131:K250)</f>
        <v>0.17761407348119937</v>
      </c>
      <c r="L251" s="40">
        <f>SUM(L131:L250)</f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B928-3B14-4D7C-98FB-C5C46917CAB7}">
  <dimension ref="B1:L101"/>
  <sheetViews>
    <sheetView topLeftCell="A22" workbookViewId="0">
      <selection activeCell="C2" sqref="C2"/>
    </sheetView>
  </sheetViews>
  <sheetFormatPr baseColWidth="10" defaultRowHeight="15" x14ac:dyDescent="0.25"/>
  <cols>
    <col min="2" max="2" width="37.28515625" bestFit="1" customWidth="1"/>
  </cols>
  <sheetData>
    <row r="1" spans="2:12" ht="15.75" thickBot="1" x14ac:dyDescent="0.3"/>
    <row r="2" spans="2:12" x14ac:dyDescent="0.25">
      <c r="B2" s="1" t="s">
        <v>971</v>
      </c>
      <c r="C2" s="2" t="s">
        <v>125</v>
      </c>
      <c r="D2" s="3"/>
      <c r="E2" s="4" t="s">
        <v>126</v>
      </c>
      <c r="F2" s="5"/>
      <c r="G2" s="5"/>
      <c r="H2" s="6"/>
      <c r="I2" s="7" t="s">
        <v>247</v>
      </c>
      <c r="J2" s="8"/>
      <c r="K2" s="8"/>
      <c r="L2" s="9"/>
    </row>
    <row r="3" spans="2:12" ht="15.75" thickBot="1" x14ac:dyDescent="0.3">
      <c r="B3" s="10"/>
      <c r="C3" s="11" t="s">
        <v>1</v>
      </c>
      <c r="D3" s="12" t="s">
        <v>2</v>
      </c>
      <c r="E3" s="13" t="s">
        <v>1</v>
      </c>
      <c r="F3" s="14" t="s">
        <v>2</v>
      </c>
      <c r="G3" s="14" t="s">
        <v>3</v>
      </c>
      <c r="H3" s="15" t="s">
        <v>4</v>
      </c>
      <c r="I3" s="16" t="s">
        <v>1</v>
      </c>
      <c r="J3" s="17" t="s">
        <v>2</v>
      </c>
      <c r="K3" s="17" t="s">
        <v>3</v>
      </c>
      <c r="L3" s="18" t="s">
        <v>4</v>
      </c>
    </row>
    <row r="4" spans="2:12" x14ac:dyDescent="0.25">
      <c r="B4" s="52" t="s">
        <v>973</v>
      </c>
      <c r="C4" s="20">
        <v>23748.870334715004</v>
      </c>
      <c r="D4" s="21">
        <v>73.051138124000005</v>
      </c>
      <c r="E4" s="22">
        <v>23748.870299999999</v>
      </c>
      <c r="F4" s="23">
        <v>59.189996964000002</v>
      </c>
      <c r="G4" s="24">
        <f t="shared" ref="G4:G48" si="0">(E4-C4)/C4</f>
        <v>-1.4617539623474841E-9</v>
      </c>
      <c r="H4" s="25">
        <f>IF(G4&lt;0.000001,1,0)</f>
        <v>1</v>
      </c>
      <c r="I4" s="26">
        <v>38955.622100000001</v>
      </c>
      <c r="J4" s="27">
        <v>0.25314531499999998</v>
      </c>
      <c r="K4" s="28">
        <f t="shared" ref="K4:K48" si="1">(I4-C4)/C4</f>
        <v>0.64031474133135791</v>
      </c>
      <c r="L4" s="29">
        <f>IF(K4&lt;0.000001,1,0)</f>
        <v>0</v>
      </c>
    </row>
    <row r="5" spans="2:12" x14ac:dyDescent="0.25">
      <c r="B5" s="43" t="s">
        <v>974</v>
      </c>
      <c r="C5" s="30">
        <v>24500.553219859994</v>
      </c>
      <c r="D5" s="31">
        <v>14.756551993</v>
      </c>
      <c r="E5" s="22">
        <v>24500.572700000001</v>
      </c>
      <c r="F5" s="23">
        <v>40.309511246</v>
      </c>
      <c r="G5" s="24">
        <f t="shared" si="0"/>
        <v>7.9508980192516059E-7</v>
      </c>
      <c r="H5" s="25">
        <f t="shared" ref="H5:H48" si="2">IF(G5&lt;0.000001,1,0)</f>
        <v>1</v>
      </c>
      <c r="I5" s="26">
        <v>36534.369599999998</v>
      </c>
      <c r="J5" s="27">
        <v>0.15945303</v>
      </c>
      <c r="K5" s="28">
        <f t="shared" si="1"/>
        <v>0.49116508807586712</v>
      </c>
      <c r="L5" s="29">
        <f t="shared" ref="L5:L48" si="3">IF(K5&lt;0.000001,1,0)</f>
        <v>0</v>
      </c>
    </row>
    <row r="6" spans="2:12" x14ac:dyDescent="0.25">
      <c r="B6" s="43" t="s">
        <v>975</v>
      </c>
      <c r="C6" s="30">
        <v>28076.309428999997</v>
      </c>
      <c r="D6" s="31">
        <v>5.9649531519999996</v>
      </c>
      <c r="E6" s="22">
        <v>28076.309399999998</v>
      </c>
      <c r="F6" s="23">
        <v>51.653312722999999</v>
      </c>
      <c r="G6" s="24">
        <f t="shared" si="0"/>
        <v>-1.0328992482767847E-9</v>
      </c>
      <c r="H6" s="25">
        <f t="shared" si="2"/>
        <v>1</v>
      </c>
      <c r="I6" s="26">
        <v>47414.991399999999</v>
      </c>
      <c r="J6" s="27">
        <v>0.13592377899999999</v>
      </c>
      <c r="K6" s="28">
        <f t="shared" si="1"/>
        <v>0.68879002847237081</v>
      </c>
      <c r="L6" s="29">
        <f t="shared" si="3"/>
        <v>0</v>
      </c>
    </row>
    <row r="7" spans="2:12" x14ac:dyDescent="0.25">
      <c r="B7" s="43" t="s">
        <v>976</v>
      </c>
      <c r="C7" s="30">
        <v>48203.25973392999</v>
      </c>
      <c r="D7" s="31">
        <v>5.7073170940000004</v>
      </c>
      <c r="E7" s="22">
        <v>48203.259700000002</v>
      </c>
      <c r="F7" s="23">
        <v>4.2985509369999999</v>
      </c>
      <c r="G7" s="24">
        <f t="shared" si="0"/>
        <v>-7.0389404951909672E-10</v>
      </c>
      <c r="H7" s="25">
        <f t="shared" si="2"/>
        <v>1</v>
      </c>
      <c r="I7" s="26">
        <v>55797.132400000002</v>
      </c>
      <c r="J7" s="27">
        <v>3.3144690999999997E-2</v>
      </c>
      <c r="K7" s="28">
        <f t="shared" si="1"/>
        <v>0.1575385712083851</v>
      </c>
      <c r="L7" s="29">
        <f t="shared" si="3"/>
        <v>0</v>
      </c>
    </row>
    <row r="8" spans="2:12" x14ac:dyDescent="0.25">
      <c r="B8" s="43" t="s">
        <v>977</v>
      </c>
      <c r="C8" s="30">
        <v>46625.356857105013</v>
      </c>
      <c r="D8" s="31">
        <v>5.6713998869999998</v>
      </c>
      <c r="E8" s="22">
        <v>46625.356899999999</v>
      </c>
      <c r="F8" s="23">
        <v>4.193965414</v>
      </c>
      <c r="G8" s="24">
        <f t="shared" si="0"/>
        <v>9.1999266065328151E-10</v>
      </c>
      <c r="H8" s="25">
        <f t="shared" si="2"/>
        <v>1</v>
      </c>
      <c r="I8" s="26">
        <v>49697.878599999996</v>
      </c>
      <c r="J8" s="27">
        <v>2.8541146999999999E-2</v>
      </c>
      <c r="K8" s="28">
        <f t="shared" si="1"/>
        <v>6.5898085291046446E-2</v>
      </c>
      <c r="L8" s="29">
        <f t="shared" si="3"/>
        <v>0</v>
      </c>
    </row>
    <row r="9" spans="2:12" x14ac:dyDescent="0.25">
      <c r="B9" s="43" t="s">
        <v>978</v>
      </c>
      <c r="C9" s="30">
        <v>55140.785456655001</v>
      </c>
      <c r="D9" s="31">
        <v>37.470247434000001</v>
      </c>
      <c r="E9" s="22">
        <v>55140.785499999998</v>
      </c>
      <c r="F9" s="23">
        <v>4.4447118049999998</v>
      </c>
      <c r="G9" s="24">
        <f t="shared" si="0"/>
        <v>7.8607869750838014E-10</v>
      </c>
      <c r="H9" s="25">
        <f t="shared" si="2"/>
        <v>1</v>
      </c>
      <c r="I9" s="26">
        <v>67307.233999999997</v>
      </c>
      <c r="J9" s="27">
        <v>6.3281067999999996E-2</v>
      </c>
      <c r="K9" s="28">
        <f t="shared" si="1"/>
        <v>0.22064336665840173</v>
      </c>
      <c r="L9" s="29">
        <f t="shared" si="3"/>
        <v>0</v>
      </c>
    </row>
    <row r="10" spans="2:12" x14ac:dyDescent="0.25">
      <c r="B10" s="43" t="s">
        <v>979</v>
      </c>
      <c r="C10" s="30">
        <v>43409.921649165022</v>
      </c>
      <c r="D10" s="31">
        <v>49.893935140000004</v>
      </c>
      <c r="E10" s="22">
        <v>43409.921600000001</v>
      </c>
      <c r="F10" s="23">
        <v>7.5258248930000002</v>
      </c>
      <c r="G10" s="24">
        <f t="shared" si="0"/>
        <v>-1.1325756621348836E-9</v>
      </c>
      <c r="H10" s="25">
        <f t="shared" si="2"/>
        <v>1</v>
      </c>
      <c r="I10" s="26">
        <v>50819.794999999998</v>
      </c>
      <c r="J10" s="27">
        <v>6.1674930000000003E-2</v>
      </c>
      <c r="K10" s="28">
        <f t="shared" si="1"/>
        <v>0.17069538643080004</v>
      </c>
      <c r="L10" s="29">
        <f t="shared" si="3"/>
        <v>0</v>
      </c>
    </row>
    <row r="11" spans="2:12" x14ac:dyDescent="0.25">
      <c r="B11" s="43" t="s">
        <v>980</v>
      </c>
      <c r="C11" s="30">
        <v>41767.769982889993</v>
      </c>
      <c r="D11" s="31">
        <v>21.273789364999999</v>
      </c>
      <c r="E11" s="22">
        <v>41767.769999999997</v>
      </c>
      <c r="F11" s="23">
        <v>8.5354643170000006</v>
      </c>
      <c r="G11" s="24">
        <f t="shared" si="0"/>
        <v>4.0964609049820285E-10</v>
      </c>
      <c r="H11" s="25">
        <f t="shared" si="2"/>
        <v>1</v>
      </c>
      <c r="I11" s="26">
        <v>47202.950799999999</v>
      </c>
      <c r="J11" s="27">
        <v>6.4942213999999998E-2</v>
      </c>
      <c r="K11" s="28">
        <f t="shared" si="1"/>
        <v>0.13012858525452775</v>
      </c>
      <c r="L11" s="29">
        <f t="shared" si="3"/>
        <v>0</v>
      </c>
    </row>
    <row r="12" spans="2:12" x14ac:dyDescent="0.25">
      <c r="B12" s="43" t="s">
        <v>981</v>
      </c>
      <c r="C12" s="30">
        <v>49860.321751139985</v>
      </c>
      <c r="D12" s="31">
        <v>55.536551455000001</v>
      </c>
      <c r="E12" s="22">
        <v>49860.321799999998</v>
      </c>
      <c r="F12" s="23">
        <v>8.9991068760000008</v>
      </c>
      <c r="G12" s="24">
        <f t="shared" si="0"/>
        <v>9.7993777207670767E-10</v>
      </c>
      <c r="H12" s="25">
        <f t="shared" si="2"/>
        <v>1</v>
      </c>
      <c r="I12" s="26">
        <v>60189.144800000002</v>
      </c>
      <c r="J12" s="27">
        <v>5.6685813000000002E-2</v>
      </c>
      <c r="K12" s="28">
        <f t="shared" si="1"/>
        <v>0.20715516238368162</v>
      </c>
      <c r="L12" s="29">
        <f t="shared" si="3"/>
        <v>0</v>
      </c>
    </row>
    <row r="13" spans="2:12" x14ac:dyDescent="0.25">
      <c r="B13" s="43" t="s">
        <v>982</v>
      </c>
      <c r="C13" s="30">
        <v>39155.102936384996</v>
      </c>
      <c r="D13" s="31">
        <v>43.429240247000003</v>
      </c>
      <c r="E13" s="22">
        <v>39155.102899999998</v>
      </c>
      <c r="F13" s="23">
        <v>13.845948688</v>
      </c>
      <c r="G13" s="24">
        <f t="shared" si="0"/>
        <v>-9.2925302011549601E-10</v>
      </c>
      <c r="H13" s="25">
        <f t="shared" si="2"/>
        <v>1</v>
      </c>
      <c r="I13" s="26">
        <v>47905.584199999998</v>
      </c>
      <c r="J13" s="27">
        <v>6.0783127999999999E-2</v>
      </c>
      <c r="K13" s="28">
        <f t="shared" si="1"/>
        <v>0.22348252481501182</v>
      </c>
      <c r="L13" s="29">
        <f t="shared" si="3"/>
        <v>0</v>
      </c>
    </row>
    <row r="14" spans="2:12" x14ac:dyDescent="0.25">
      <c r="B14" s="43" t="s">
        <v>983</v>
      </c>
      <c r="C14" s="30">
        <v>37564.201390974995</v>
      </c>
      <c r="D14" s="31">
        <v>14.214285604000001</v>
      </c>
      <c r="E14" s="22">
        <v>37564.201399999998</v>
      </c>
      <c r="F14" s="23">
        <v>12.098544858</v>
      </c>
      <c r="G14" s="24">
        <f t="shared" si="0"/>
        <v>2.4025542678919947E-10</v>
      </c>
      <c r="H14" s="25">
        <f t="shared" si="2"/>
        <v>1</v>
      </c>
      <c r="I14" s="26">
        <v>43783.380599999997</v>
      </c>
      <c r="J14" s="27">
        <v>5.9011328000000002E-2</v>
      </c>
      <c r="K14" s="28">
        <f t="shared" si="1"/>
        <v>0.1655613317662383</v>
      </c>
      <c r="L14" s="29">
        <f t="shared" si="3"/>
        <v>0</v>
      </c>
    </row>
    <row r="15" spans="2:12" x14ac:dyDescent="0.25">
      <c r="B15" s="43" t="s">
        <v>984</v>
      </c>
      <c r="C15" s="30">
        <v>45445.438074179983</v>
      </c>
      <c r="D15" s="31">
        <v>65.959690679000005</v>
      </c>
      <c r="E15" s="22">
        <v>45445.438099999999</v>
      </c>
      <c r="F15" s="23">
        <v>13.782286557000001</v>
      </c>
      <c r="G15" s="24">
        <f t="shared" si="0"/>
        <v>5.6815419229371962E-10</v>
      </c>
      <c r="H15" s="25">
        <f t="shared" si="2"/>
        <v>1</v>
      </c>
      <c r="I15" s="26">
        <v>54164.621500000001</v>
      </c>
      <c r="J15" s="27">
        <v>5.8228727000000001E-2</v>
      </c>
      <c r="K15" s="28">
        <f t="shared" si="1"/>
        <v>0.19186047698754297</v>
      </c>
      <c r="L15" s="29">
        <f t="shared" si="3"/>
        <v>0</v>
      </c>
    </row>
    <row r="16" spans="2:12" x14ac:dyDescent="0.25">
      <c r="B16" s="43" t="s">
        <v>985</v>
      </c>
      <c r="C16" s="30">
        <v>35438.029295464999</v>
      </c>
      <c r="D16" s="31">
        <v>77.646158915000001</v>
      </c>
      <c r="E16" s="22">
        <v>35438.029300000002</v>
      </c>
      <c r="F16" s="23">
        <v>17.414331787999998</v>
      </c>
      <c r="G16" s="24">
        <f t="shared" si="0"/>
        <v>1.2796994098354883E-10</v>
      </c>
      <c r="H16" s="25">
        <f t="shared" si="2"/>
        <v>1</v>
      </c>
      <c r="I16" s="26">
        <v>45811.0461</v>
      </c>
      <c r="J16" s="27">
        <v>8.2575362999999999E-2</v>
      </c>
      <c r="K16" s="28">
        <f t="shared" si="1"/>
        <v>0.29270862434391726</v>
      </c>
      <c r="L16" s="29">
        <f t="shared" si="3"/>
        <v>0</v>
      </c>
    </row>
    <row r="17" spans="2:12" x14ac:dyDescent="0.25">
      <c r="B17" s="43" t="s">
        <v>986</v>
      </c>
      <c r="C17" s="30">
        <v>33963.353637040003</v>
      </c>
      <c r="D17" s="31">
        <v>5.2309107089999998</v>
      </c>
      <c r="E17" s="22">
        <v>33963.353600000002</v>
      </c>
      <c r="F17" s="23">
        <v>16.03840177</v>
      </c>
      <c r="G17" s="24">
        <f t="shared" si="0"/>
        <v>-1.0905872719375735E-9</v>
      </c>
      <c r="H17" s="25">
        <f t="shared" si="2"/>
        <v>1</v>
      </c>
      <c r="I17" s="26">
        <v>40276.927300000003</v>
      </c>
      <c r="J17" s="27">
        <v>0.13550073300000001</v>
      </c>
      <c r="K17" s="28">
        <f t="shared" si="1"/>
        <v>0.18589370562259483</v>
      </c>
      <c r="L17" s="29">
        <f t="shared" si="3"/>
        <v>0</v>
      </c>
    </row>
    <row r="18" spans="2:12" x14ac:dyDescent="0.25">
      <c r="B18" s="43" t="s">
        <v>987</v>
      </c>
      <c r="C18" s="30">
        <v>41504.260831570013</v>
      </c>
      <c r="D18" s="31">
        <v>48.583745948000001</v>
      </c>
      <c r="E18" s="22">
        <v>41504.260799999996</v>
      </c>
      <c r="F18" s="23">
        <v>20.032286798000001</v>
      </c>
      <c r="G18" s="24">
        <f t="shared" si="0"/>
        <v>-7.6064518816939392E-10</v>
      </c>
      <c r="H18" s="25">
        <f t="shared" si="2"/>
        <v>1</v>
      </c>
      <c r="I18" s="26">
        <v>52985.9156</v>
      </c>
      <c r="J18" s="27">
        <v>0.121882292</v>
      </c>
      <c r="K18" s="28">
        <f t="shared" si="1"/>
        <v>0.27663797736391738</v>
      </c>
      <c r="L18" s="29">
        <f t="shared" si="3"/>
        <v>0</v>
      </c>
    </row>
    <row r="19" spans="2:12" x14ac:dyDescent="0.25">
      <c r="B19" s="43" t="s">
        <v>988</v>
      </c>
      <c r="C19" s="30">
        <v>11530.970545020004</v>
      </c>
      <c r="D19" s="31">
        <v>48.301321442999999</v>
      </c>
      <c r="E19" s="22">
        <v>11530.970499999999</v>
      </c>
      <c r="F19" s="23">
        <v>46.355234596999999</v>
      </c>
      <c r="G19" s="24">
        <f t="shared" si="0"/>
        <v>-3.9042684163396652E-9</v>
      </c>
      <c r="H19" s="25">
        <f t="shared" si="2"/>
        <v>1</v>
      </c>
      <c r="I19" s="26">
        <v>15954.0821</v>
      </c>
      <c r="J19" s="27">
        <v>0.171330658</v>
      </c>
      <c r="K19" s="28">
        <f t="shared" si="1"/>
        <v>0.38358536583811237</v>
      </c>
      <c r="L19" s="29">
        <f t="shared" si="3"/>
        <v>0</v>
      </c>
    </row>
    <row r="20" spans="2:12" x14ac:dyDescent="0.25">
      <c r="B20" s="43" t="s">
        <v>989</v>
      </c>
      <c r="C20" s="30">
        <v>10845.594196845004</v>
      </c>
      <c r="D20" s="31">
        <v>65.408404284</v>
      </c>
      <c r="E20" s="22">
        <v>10845.5942</v>
      </c>
      <c r="F20" s="23">
        <v>53.512646322000002</v>
      </c>
      <c r="G20" s="24">
        <f t="shared" si="0"/>
        <v>2.9090110015473363E-10</v>
      </c>
      <c r="H20" s="25">
        <f t="shared" si="2"/>
        <v>1</v>
      </c>
      <c r="I20" s="26">
        <v>18747.5818</v>
      </c>
      <c r="J20" s="27">
        <v>0.12606832500000001</v>
      </c>
      <c r="K20" s="28">
        <f t="shared" si="1"/>
        <v>0.72858964292188744</v>
      </c>
      <c r="L20" s="29">
        <f t="shared" si="3"/>
        <v>0</v>
      </c>
    </row>
    <row r="21" spans="2:12" x14ac:dyDescent="0.25">
      <c r="B21" s="43" t="s">
        <v>990</v>
      </c>
      <c r="C21" s="30">
        <v>12035.365833439999</v>
      </c>
      <c r="D21" s="31">
        <v>39.512263191999999</v>
      </c>
      <c r="E21" s="22">
        <v>12035.3658</v>
      </c>
      <c r="F21" s="23">
        <v>48.885262466999997</v>
      </c>
      <c r="G21" s="24">
        <f t="shared" si="0"/>
        <v>-2.7784780043522843E-9</v>
      </c>
      <c r="H21" s="25">
        <f t="shared" si="2"/>
        <v>1</v>
      </c>
      <c r="I21" s="26">
        <v>17603.518</v>
      </c>
      <c r="J21" s="27">
        <v>0.14302556899999999</v>
      </c>
      <c r="K21" s="28">
        <f t="shared" si="1"/>
        <v>0.46264918271856875</v>
      </c>
      <c r="L21" s="29">
        <f t="shared" si="3"/>
        <v>0</v>
      </c>
    </row>
    <row r="22" spans="2:12" x14ac:dyDescent="0.25">
      <c r="B22" s="43" t="s">
        <v>991</v>
      </c>
      <c r="C22" s="30">
        <v>26889.078833975003</v>
      </c>
      <c r="D22" s="31">
        <v>58.542468091000003</v>
      </c>
      <c r="E22" s="22">
        <v>26889.078799999999</v>
      </c>
      <c r="F22" s="23">
        <v>4.876529176</v>
      </c>
      <c r="G22" s="24">
        <f t="shared" si="0"/>
        <v>-1.263524282615718E-9</v>
      </c>
      <c r="H22" s="25">
        <f t="shared" si="2"/>
        <v>1</v>
      </c>
      <c r="I22" s="26">
        <v>30460.696</v>
      </c>
      <c r="J22" s="27">
        <v>4.2366550000000003E-2</v>
      </c>
      <c r="K22" s="28">
        <f t="shared" si="1"/>
        <v>0.13282779927411167</v>
      </c>
      <c r="L22" s="29">
        <f t="shared" si="3"/>
        <v>0</v>
      </c>
    </row>
    <row r="23" spans="2:12" x14ac:dyDescent="0.25">
      <c r="B23" s="43" t="s">
        <v>992</v>
      </c>
      <c r="C23" s="30">
        <v>23867.492799610001</v>
      </c>
      <c r="D23" s="31">
        <v>27.100482082999999</v>
      </c>
      <c r="E23" s="22">
        <v>23867.4928</v>
      </c>
      <c r="F23" s="23">
        <v>5.1254367810000003</v>
      </c>
      <c r="G23" s="24">
        <f t="shared" si="0"/>
        <v>1.6340158028002777E-11</v>
      </c>
      <c r="H23" s="25">
        <f t="shared" si="2"/>
        <v>1</v>
      </c>
      <c r="I23" s="26">
        <v>28377.215700000001</v>
      </c>
      <c r="J23" s="27">
        <v>4.1561026000000001E-2</v>
      </c>
      <c r="K23" s="28">
        <f t="shared" si="1"/>
        <v>0.18894832977444906</v>
      </c>
      <c r="L23" s="29">
        <f t="shared" si="3"/>
        <v>0</v>
      </c>
    </row>
    <row r="24" spans="2:12" x14ac:dyDescent="0.25">
      <c r="B24" s="43" t="s">
        <v>993</v>
      </c>
      <c r="C24" s="30">
        <v>24113.139363825012</v>
      </c>
      <c r="D24" s="31">
        <v>36.987084066000001</v>
      </c>
      <c r="E24" s="22">
        <v>24113.1394</v>
      </c>
      <c r="F24" s="23">
        <v>4.6719533770000004</v>
      </c>
      <c r="G24" s="24">
        <f t="shared" si="0"/>
        <v>1.5002189266256348E-9</v>
      </c>
      <c r="H24" s="25">
        <f t="shared" si="2"/>
        <v>1</v>
      </c>
      <c r="I24" s="26">
        <v>27224.0651</v>
      </c>
      <c r="J24" s="27">
        <v>3.0379421E-2</v>
      </c>
      <c r="K24" s="28">
        <f t="shared" si="1"/>
        <v>0.12901371692986843</v>
      </c>
      <c r="L24" s="29">
        <f t="shared" si="3"/>
        <v>0</v>
      </c>
    </row>
    <row r="25" spans="2:12" x14ac:dyDescent="0.25">
      <c r="B25" s="43" t="s">
        <v>994</v>
      </c>
      <c r="C25" s="30">
        <v>23171.537935175002</v>
      </c>
      <c r="D25" s="31">
        <v>88.342079494000004</v>
      </c>
      <c r="E25" s="22">
        <v>23171.537899999999</v>
      </c>
      <c r="F25" s="23">
        <v>9.3725845589999999</v>
      </c>
      <c r="G25" s="24">
        <f t="shared" si="0"/>
        <v>-1.5180262253527332E-9</v>
      </c>
      <c r="H25" s="25">
        <f t="shared" si="2"/>
        <v>1</v>
      </c>
      <c r="I25" s="26">
        <v>27818.0638</v>
      </c>
      <c r="J25" s="27">
        <v>4.8228992999999998E-2</v>
      </c>
      <c r="K25" s="28">
        <f t="shared" si="1"/>
        <v>0.20052729679938294</v>
      </c>
      <c r="L25" s="29">
        <f t="shared" si="3"/>
        <v>0</v>
      </c>
    </row>
    <row r="26" spans="2:12" x14ac:dyDescent="0.25">
      <c r="B26" s="43" t="s">
        <v>995</v>
      </c>
      <c r="C26" s="30">
        <v>20590.039066825018</v>
      </c>
      <c r="D26" s="31">
        <v>26.471818528</v>
      </c>
      <c r="E26" s="22">
        <v>20590.039100000002</v>
      </c>
      <c r="F26" s="23">
        <v>8.7227792720000004</v>
      </c>
      <c r="G26" s="24">
        <f t="shared" si="0"/>
        <v>1.6112151751007536E-9</v>
      </c>
      <c r="H26" s="25">
        <f t="shared" si="2"/>
        <v>1</v>
      </c>
      <c r="I26" s="26">
        <v>27057.687699999999</v>
      </c>
      <c r="J26" s="27">
        <v>4.3648194000000001E-2</v>
      </c>
      <c r="K26" s="28">
        <f t="shared" si="1"/>
        <v>0.31411541338917387</v>
      </c>
      <c r="L26" s="29">
        <f t="shared" si="3"/>
        <v>0</v>
      </c>
    </row>
    <row r="27" spans="2:12" x14ac:dyDescent="0.25">
      <c r="B27" s="43" t="s">
        <v>996</v>
      </c>
      <c r="C27" s="30">
        <v>21194.95385061</v>
      </c>
      <c r="D27" s="31">
        <v>37.96385265</v>
      </c>
      <c r="E27" s="22">
        <v>21194.9539</v>
      </c>
      <c r="F27" s="23">
        <v>8.2374975799999994</v>
      </c>
      <c r="G27" s="24">
        <f t="shared" si="0"/>
        <v>2.3302716763874054E-9</v>
      </c>
      <c r="H27" s="25">
        <f t="shared" si="2"/>
        <v>1</v>
      </c>
      <c r="I27" s="26">
        <v>25074.743999999999</v>
      </c>
      <c r="J27" s="27">
        <v>5.0733313000000002E-2</v>
      </c>
      <c r="K27" s="28">
        <f t="shared" si="1"/>
        <v>0.18305254055923961</v>
      </c>
      <c r="L27" s="29">
        <f t="shared" si="3"/>
        <v>0</v>
      </c>
    </row>
    <row r="28" spans="2:12" x14ac:dyDescent="0.25">
      <c r="B28" s="43" t="s">
        <v>997</v>
      </c>
      <c r="C28" s="30">
        <v>19990.311700140002</v>
      </c>
      <c r="D28" s="31">
        <v>77.165996836999994</v>
      </c>
      <c r="E28" s="22">
        <v>19990.311699999998</v>
      </c>
      <c r="F28" s="23">
        <v>12.299832287999999</v>
      </c>
      <c r="G28" s="24">
        <f t="shared" si="0"/>
        <v>-7.0035914653165194E-12</v>
      </c>
      <c r="H28" s="25">
        <f t="shared" si="2"/>
        <v>1</v>
      </c>
      <c r="I28" s="26">
        <v>25605.848699999999</v>
      </c>
      <c r="J28" s="27">
        <v>7.0508084999999998E-2</v>
      </c>
      <c r="K28" s="28">
        <f t="shared" si="1"/>
        <v>0.28091292842725746</v>
      </c>
      <c r="L28" s="29">
        <f t="shared" si="3"/>
        <v>0</v>
      </c>
    </row>
    <row r="29" spans="2:12" x14ac:dyDescent="0.25">
      <c r="B29" s="43" t="s">
        <v>998</v>
      </c>
      <c r="C29" s="30">
        <v>18566.272172690009</v>
      </c>
      <c r="D29" s="31">
        <v>38.414932055999998</v>
      </c>
      <c r="E29" s="22">
        <v>18566.272199999999</v>
      </c>
      <c r="F29" s="23">
        <v>13.249656651</v>
      </c>
      <c r="G29" s="24">
        <f t="shared" si="0"/>
        <v>1.4709463562024478E-9</v>
      </c>
      <c r="H29" s="25">
        <f t="shared" si="2"/>
        <v>1</v>
      </c>
      <c r="I29" s="26">
        <v>25011.660599999999</v>
      </c>
      <c r="J29" s="27">
        <v>7.5958071000000002E-2</v>
      </c>
      <c r="K29" s="28">
        <f t="shared" si="1"/>
        <v>0.34715576543097387</v>
      </c>
      <c r="L29" s="29">
        <f t="shared" si="3"/>
        <v>0</v>
      </c>
    </row>
    <row r="30" spans="2:12" x14ac:dyDescent="0.25">
      <c r="B30" s="43" t="s">
        <v>999</v>
      </c>
      <c r="C30" s="30">
        <v>18990.041080490006</v>
      </c>
      <c r="D30" s="31">
        <v>45.632397402999999</v>
      </c>
      <c r="E30" s="22">
        <v>18990.041099999999</v>
      </c>
      <c r="F30" s="23">
        <v>12.787505927</v>
      </c>
      <c r="G30" s="24">
        <f t="shared" si="0"/>
        <v>1.0273802342279759E-9</v>
      </c>
      <c r="H30" s="25">
        <f t="shared" si="2"/>
        <v>1</v>
      </c>
      <c r="I30" s="26">
        <v>22283.133999999998</v>
      </c>
      <c r="J30" s="27">
        <v>6.4078131999999996E-2</v>
      </c>
      <c r="K30" s="28">
        <f t="shared" si="1"/>
        <v>0.17341157428528425</v>
      </c>
      <c r="L30" s="29">
        <f t="shared" si="3"/>
        <v>0</v>
      </c>
    </row>
    <row r="31" spans="2:12" x14ac:dyDescent="0.25">
      <c r="B31" s="43" t="s">
        <v>1000</v>
      </c>
      <c r="C31" s="30">
        <v>18071.06461821503</v>
      </c>
      <c r="D31" s="31">
        <v>95.260600866000004</v>
      </c>
      <c r="E31" s="22">
        <v>18071.064600000002</v>
      </c>
      <c r="F31" s="23">
        <v>17.193421952000001</v>
      </c>
      <c r="G31" s="24">
        <f t="shared" si="0"/>
        <v>-1.007966559572623E-9</v>
      </c>
      <c r="H31" s="25">
        <f t="shared" si="2"/>
        <v>1</v>
      </c>
      <c r="I31" s="26">
        <v>23128.630799999999</v>
      </c>
      <c r="J31" s="27">
        <v>7.2840985999999996E-2</v>
      </c>
      <c r="K31" s="28">
        <f t="shared" si="1"/>
        <v>0.2798709588303453</v>
      </c>
      <c r="L31" s="29">
        <f t="shared" si="3"/>
        <v>0</v>
      </c>
    </row>
    <row r="32" spans="2:12" x14ac:dyDescent="0.25">
      <c r="B32" s="43" t="s">
        <v>1001</v>
      </c>
      <c r="C32" s="30">
        <v>16965.061179845008</v>
      </c>
      <c r="D32" s="31">
        <v>133.53119619399999</v>
      </c>
      <c r="E32" s="22">
        <v>16965.0612</v>
      </c>
      <c r="F32" s="23">
        <v>19.794562547999998</v>
      </c>
      <c r="G32" s="24">
        <f t="shared" si="0"/>
        <v>1.1880294288475399E-9</v>
      </c>
      <c r="H32" s="25">
        <f t="shared" si="2"/>
        <v>1</v>
      </c>
      <c r="I32" s="26">
        <v>24179.3613</v>
      </c>
      <c r="J32" s="27">
        <v>9.1724887000000005E-2</v>
      </c>
      <c r="K32" s="28">
        <f t="shared" si="1"/>
        <v>0.42524456845023306</v>
      </c>
      <c r="L32" s="29">
        <f t="shared" si="3"/>
        <v>0</v>
      </c>
    </row>
    <row r="33" spans="2:12" x14ac:dyDescent="0.25">
      <c r="B33" s="43" t="s">
        <v>1002</v>
      </c>
      <c r="C33" s="30">
        <v>17353.374518655008</v>
      </c>
      <c r="D33" s="31">
        <v>59.044848922</v>
      </c>
      <c r="E33" s="22">
        <v>17353.374500000002</v>
      </c>
      <c r="F33" s="23">
        <v>17.210168861</v>
      </c>
      <c r="G33" s="24">
        <f t="shared" si="0"/>
        <v>-1.0750073980085062E-9</v>
      </c>
      <c r="H33" s="25">
        <f t="shared" si="2"/>
        <v>1</v>
      </c>
      <c r="I33" s="26">
        <v>21058.7304</v>
      </c>
      <c r="J33" s="27">
        <v>0.10489058</v>
      </c>
      <c r="K33" s="28">
        <f t="shared" si="1"/>
        <v>0.21352365082432281</v>
      </c>
      <c r="L33" s="29">
        <f t="shared" si="3"/>
        <v>0</v>
      </c>
    </row>
    <row r="34" spans="2:12" x14ac:dyDescent="0.25">
      <c r="B34" s="43" t="s">
        <v>1003</v>
      </c>
      <c r="C34" s="30">
        <v>8390.1348097200025</v>
      </c>
      <c r="D34" s="31">
        <v>104.473008936</v>
      </c>
      <c r="E34" s="22">
        <v>8390.1347999999998</v>
      </c>
      <c r="F34" s="23">
        <v>44.284394485</v>
      </c>
      <c r="G34" s="24">
        <f t="shared" si="0"/>
        <v>-1.1585037581553848E-9</v>
      </c>
      <c r="H34" s="25">
        <f t="shared" si="2"/>
        <v>1</v>
      </c>
      <c r="I34" s="26">
        <v>10973.641100000001</v>
      </c>
      <c r="J34" s="27">
        <v>0.23222179400000001</v>
      </c>
      <c r="K34" s="28">
        <f t="shared" si="1"/>
        <v>0.30792190457857682</v>
      </c>
      <c r="L34" s="29">
        <f t="shared" si="3"/>
        <v>0</v>
      </c>
    </row>
    <row r="35" spans="2:12" x14ac:dyDescent="0.25">
      <c r="B35" s="43" t="s">
        <v>1004</v>
      </c>
      <c r="C35" s="30">
        <v>10481.929651050003</v>
      </c>
      <c r="D35" s="31">
        <v>57.757759243000002</v>
      </c>
      <c r="E35" s="22">
        <v>10481.929700000001</v>
      </c>
      <c r="F35" s="23">
        <v>48.946973823</v>
      </c>
      <c r="G35" s="24">
        <f t="shared" si="0"/>
        <v>4.6699414752063218E-9</v>
      </c>
      <c r="H35" s="25">
        <f t="shared" si="2"/>
        <v>1</v>
      </c>
      <c r="I35" s="26">
        <v>15645.399100000001</v>
      </c>
      <c r="J35" s="27">
        <v>0.127425599</v>
      </c>
      <c r="K35" s="28">
        <f t="shared" si="1"/>
        <v>0.49260676429294292</v>
      </c>
      <c r="L35" s="29">
        <f t="shared" si="3"/>
        <v>0</v>
      </c>
    </row>
    <row r="36" spans="2:12" x14ac:dyDescent="0.25">
      <c r="B36" s="43" t="s">
        <v>1005</v>
      </c>
      <c r="C36" s="30">
        <v>8810.3972302599996</v>
      </c>
      <c r="D36" s="31">
        <v>80.798606505999999</v>
      </c>
      <c r="E36" s="22">
        <v>8810.3971999999994</v>
      </c>
      <c r="F36" s="23">
        <v>59.302395482999998</v>
      </c>
      <c r="G36" s="24">
        <f t="shared" si="0"/>
        <v>-3.434578412262792E-9</v>
      </c>
      <c r="H36" s="25">
        <f t="shared" si="2"/>
        <v>1</v>
      </c>
      <c r="I36" s="26">
        <v>12801.302</v>
      </c>
      <c r="J36" s="27">
        <v>0.14697029</v>
      </c>
      <c r="K36" s="28">
        <f t="shared" si="1"/>
        <v>0.45297671210929347</v>
      </c>
      <c r="L36" s="29">
        <f t="shared" si="3"/>
        <v>0</v>
      </c>
    </row>
    <row r="37" spans="2:12" x14ac:dyDescent="0.25">
      <c r="B37" s="43" t="s">
        <v>1006</v>
      </c>
      <c r="C37" s="30">
        <v>16552.587936320004</v>
      </c>
      <c r="D37" s="31">
        <v>50.925477086999997</v>
      </c>
      <c r="E37" s="22">
        <v>16552.587899999999</v>
      </c>
      <c r="F37" s="23">
        <v>4.6451140410000002</v>
      </c>
      <c r="G37" s="24">
        <f t="shared" si="0"/>
        <v>-2.1942191338845658E-9</v>
      </c>
      <c r="H37" s="25">
        <f t="shared" si="2"/>
        <v>1</v>
      </c>
      <c r="I37" s="26">
        <v>20000.583900000001</v>
      </c>
      <c r="J37" s="27">
        <v>3.4902139999999998E-2</v>
      </c>
      <c r="K37" s="28">
        <f t="shared" si="1"/>
        <v>0.20830555179316337</v>
      </c>
      <c r="L37" s="29">
        <f t="shared" si="3"/>
        <v>0</v>
      </c>
    </row>
    <row r="38" spans="2:12" x14ac:dyDescent="0.25">
      <c r="B38" s="43" t="s">
        <v>1007</v>
      </c>
      <c r="C38" s="30">
        <v>20852.032806715004</v>
      </c>
      <c r="D38" s="31">
        <v>71.720438020000003</v>
      </c>
      <c r="E38" s="22">
        <v>20852.032800000001</v>
      </c>
      <c r="F38" s="23">
        <v>5.219966254</v>
      </c>
      <c r="G38" s="24">
        <f t="shared" si="0"/>
        <v>-3.2203110230290289E-10</v>
      </c>
      <c r="H38" s="25">
        <f t="shared" si="2"/>
        <v>1</v>
      </c>
      <c r="I38" s="26">
        <v>24199.095799999999</v>
      </c>
      <c r="J38" s="27">
        <v>2.9875544E-2</v>
      </c>
      <c r="K38" s="28">
        <f t="shared" si="1"/>
        <v>0.1605149495164393</v>
      </c>
      <c r="L38" s="29">
        <f t="shared" si="3"/>
        <v>0</v>
      </c>
    </row>
    <row r="39" spans="2:12" x14ac:dyDescent="0.25">
      <c r="B39" s="43" t="s">
        <v>1008</v>
      </c>
      <c r="C39" s="30">
        <v>17290.996638155004</v>
      </c>
      <c r="D39" s="31">
        <v>43.448619235000002</v>
      </c>
      <c r="E39" s="22">
        <v>17290.996599999999</v>
      </c>
      <c r="F39" s="23">
        <v>5.4120758499999999</v>
      </c>
      <c r="G39" s="24">
        <f t="shared" si="0"/>
        <v>-2.2066400284447281E-9</v>
      </c>
      <c r="H39" s="25">
        <f t="shared" si="2"/>
        <v>1</v>
      </c>
      <c r="I39" s="26">
        <v>20409.6342</v>
      </c>
      <c r="J39" s="27">
        <v>2.9708761E-2</v>
      </c>
      <c r="K39" s="28">
        <f t="shared" si="1"/>
        <v>0.18036193211461776</v>
      </c>
      <c r="L39" s="29">
        <f t="shared" si="3"/>
        <v>0</v>
      </c>
    </row>
    <row r="40" spans="2:12" x14ac:dyDescent="0.25">
      <c r="B40" s="43" t="s">
        <v>1009</v>
      </c>
      <c r="C40" s="30">
        <v>14282.731499995012</v>
      </c>
      <c r="D40" s="31">
        <v>68.236341101999997</v>
      </c>
      <c r="E40" s="22">
        <v>14282.7315</v>
      </c>
      <c r="F40" s="23">
        <v>8.0706335589999991</v>
      </c>
      <c r="G40" s="24">
        <f t="shared" si="0"/>
        <v>3.4920973936424415E-13</v>
      </c>
      <c r="H40" s="25">
        <f t="shared" si="2"/>
        <v>1</v>
      </c>
      <c r="I40" s="26">
        <v>17343.189299999998</v>
      </c>
      <c r="J40" s="27">
        <v>5.5924979999999999E-2</v>
      </c>
      <c r="K40" s="28">
        <f t="shared" si="1"/>
        <v>0.21427678592194041</v>
      </c>
      <c r="L40" s="29">
        <f t="shared" si="3"/>
        <v>0</v>
      </c>
    </row>
    <row r="41" spans="2:12" x14ac:dyDescent="0.25">
      <c r="B41" s="43" t="s">
        <v>1010</v>
      </c>
      <c r="C41" s="30">
        <v>18616.720105585009</v>
      </c>
      <c r="D41" s="31">
        <v>68.766261489000001</v>
      </c>
      <c r="E41" s="22">
        <v>18616.720099999999</v>
      </c>
      <c r="F41" s="23">
        <v>9.3300524570000007</v>
      </c>
      <c r="G41" s="24">
        <f t="shared" si="0"/>
        <v>-2.9999970354909447E-10</v>
      </c>
      <c r="H41" s="25">
        <f t="shared" si="2"/>
        <v>1</v>
      </c>
      <c r="I41" s="26">
        <v>22691.357800000002</v>
      </c>
      <c r="J41" s="27">
        <v>5.6162697999999997E-2</v>
      </c>
      <c r="K41" s="28">
        <f t="shared" si="1"/>
        <v>0.21886979399731119</v>
      </c>
      <c r="L41" s="29">
        <f t="shared" si="3"/>
        <v>0</v>
      </c>
    </row>
    <row r="42" spans="2:12" x14ac:dyDescent="0.25">
      <c r="B42" s="43" t="s">
        <v>1011</v>
      </c>
      <c r="C42" s="30">
        <v>14893.329828754997</v>
      </c>
      <c r="D42" s="31">
        <v>67.918076791000004</v>
      </c>
      <c r="E42" s="22">
        <v>14893.3298</v>
      </c>
      <c r="F42" s="23">
        <v>8.1913173199999996</v>
      </c>
      <c r="G42" s="24">
        <f t="shared" si="0"/>
        <v>-1.9307299128183795E-9</v>
      </c>
      <c r="H42" s="25">
        <f t="shared" si="2"/>
        <v>1</v>
      </c>
      <c r="I42" s="26">
        <v>18256.4908</v>
      </c>
      <c r="J42" s="27">
        <v>4.0768337000000002E-2</v>
      </c>
      <c r="K42" s="28">
        <f t="shared" si="1"/>
        <v>0.22581659104545226</v>
      </c>
      <c r="L42" s="29">
        <f t="shared" si="3"/>
        <v>0</v>
      </c>
    </row>
    <row r="43" spans="2:12" x14ac:dyDescent="0.25">
      <c r="B43" s="43" t="s">
        <v>1012</v>
      </c>
      <c r="C43" s="30">
        <v>13062.084048285044</v>
      </c>
      <c r="D43" s="31">
        <v>205.56275875700001</v>
      </c>
      <c r="E43" s="22">
        <v>13062.084000000001</v>
      </c>
      <c r="F43" s="23">
        <v>12.299189212</v>
      </c>
      <c r="G43" s="24">
        <f t="shared" si="0"/>
        <v>-3.6965803171848656E-9</v>
      </c>
      <c r="H43" s="25">
        <f t="shared" si="2"/>
        <v>1</v>
      </c>
      <c r="I43" s="26">
        <v>16280.7394</v>
      </c>
      <c r="J43" s="27">
        <v>5.3060992000000001E-2</v>
      </c>
      <c r="K43" s="28">
        <f t="shared" si="1"/>
        <v>0.24641208399953168</v>
      </c>
      <c r="L43" s="29">
        <f t="shared" si="3"/>
        <v>0</v>
      </c>
    </row>
    <row r="44" spans="2:12" x14ac:dyDescent="0.25">
      <c r="B44" s="43" t="s">
        <v>1013</v>
      </c>
      <c r="C44" s="30">
        <v>16550.868343810002</v>
      </c>
      <c r="D44" s="31">
        <v>57.199851748999997</v>
      </c>
      <c r="E44" s="22">
        <v>16550.868299999998</v>
      </c>
      <c r="F44" s="23">
        <v>13.956568431999999</v>
      </c>
      <c r="G44" s="24">
        <f t="shared" si="0"/>
        <v>-2.6469912244129311E-9</v>
      </c>
      <c r="H44" s="25">
        <f t="shared" si="2"/>
        <v>1</v>
      </c>
      <c r="I44" s="26">
        <v>20316.7065</v>
      </c>
      <c r="J44" s="27">
        <v>5.4469048999999999E-2</v>
      </c>
      <c r="K44" s="28">
        <f t="shared" si="1"/>
        <v>0.22753115292578691</v>
      </c>
      <c r="L44" s="29">
        <f t="shared" si="3"/>
        <v>0</v>
      </c>
    </row>
    <row r="45" spans="2:12" x14ac:dyDescent="0.25">
      <c r="B45" s="43" t="s">
        <v>1014</v>
      </c>
      <c r="C45" s="30">
        <v>13309.209942295005</v>
      </c>
      <c r="D45" s="31">
        <v>30.564386209999999</v>
      </c>
      <c r="E45" s="22">
        <v>13309.2099</v>
      </c>
      <c r="F45" s="23">
        <v>13.595697014000001</v>
      </c>
      <c r="G45" s="24">
        <f t="shared" si="0"/>
        <v>-3.1778749730767077E-9</v>
      </c>
      <c r="H45" s="25">
        <f t="shared" si="2"/>
        <v>1</v>
      </c>
      <c r="I45" s="26">
        <v>17190.052299999999</v>
      </c>
      <c r="J45" s="27">
        <v>6.0921887000000001E-2</v>
      </c>
      <c r="K45" s="28">
        <f t="shared" si="1"/>
        <v>0.29159073863371576</v>
      </c>
      <c r="L45" s="29">
        <f t="shared" si="3"/>
        <v>0</v>
      </c>
    </row>
    <row r="46" spans="2:12" x14ac:dyDescent="0.25">
      <c r="B46" s="43" t="s">
        <v>1015</v>
      </c>
      <c r="C46" s="30">
        <v>11831.381562595261</v>
      </c>
      <c r="D46" s="31">
        <v>105.47602543000001</v>
      </c>
      <c r="E46" s="22">
        <v>11831.381600000001</v>
      </c>
      <c r="F46" s="23">
        <v>17.284119313000001</v>
      </c>
      <c r="G46" s="24">
        <f t="shared" si="0"/>
        <v>3.1614853505659778E-9</v>
      </c>
      <c r="H46" s="25">
        <f t="shared" si="2"/>
        <v>1</v>
      </c>
      <c r="I46" s="26">
        <v>14864.5802</v>
      </c>
      <c r="J46" s="27">
        <v>7.5650498999999996E-2</v>
      </c>
      <c r="K46" s="28">
        <f t="shared" si="1"/>
        <v>0.25636893048857051</v>
      </c>
      <c r="L46" s="29">
        <f t="shared" si="3"/>
        <v>0</v>
      </c>
    </row>
    <row r="47" spans="2:12" x14ac:dyDescent="0.25">
      <c r="B47" s="43" t="s">
        <v>1016</v>
      </c>
      <c r="C47" s="30">
        <v>15172.827987134999</v>
      </c>
      <c r="D47" s="31">
        <v>115.71541529300001</v>
      </c>
      <c r="E47" s="22">
        <v>15172.828</v>
      </c>
      <c r="F47" s="23">
        <v>18.716920618</v>
      </c>
      <c r="G47" s="24">
        <f t="shared" si="0"/>
        <v>8.4789736213521017E-10</v>
      </c>
      <c r="H47" s="25">
        <f t="shared" si="2"/>
        <v>1</v>
      </c>
      <c r="I47" s="26">
        <v>19589.398099999999</v>
      </c>
      <c r="J47" s="27">
        <v>7.2607893000000007E-2</v>
      </c>
      <c r="K47" s="28">
        <f t="shared" si="1"/>
        <v>0.29108417472403947</v>
      </c>
      <c r="L47" s="29">
        <f t="shared" si="3"/>
        <v>0</v>
      </c>
    </row>
    <row r="48" spans="2:12" ht="15.75" thickBot="1" x14ac:dyDescent="0.3">
      <c r="B48" s="44" t="s">
        <v>1017</v>
      </c>
      <c r="C48" s="30">
        <v>12330.267613615002</v>
      </c>
      <c r="D48" s="31">
        <v>64.631059898999993</v>
      </c>
      <c r="E48" s="22">
        <v>12330.267599999999</v>
      </c>
      <c r="F48" s="23">
        <v>16.468723248</v>
      </c>
      <c r="G48" s="24">
        <f t="shared" si="0"/>
        <v>-1.1041936254717357E-9</v>
      </c>
      <c r="H48" s="25">
        <f t="shared" si="2"/>
        <v>1</v>
      </c>
      <c r="I48" s="26">
        <v>16307.026400000001</v>
      </c>
      <c r="J48" s="27">
        <v>6.4318323999999996E-2</v>
      </c>
      <c r="K48" s="28">
        <f t="shared" si="1"/>
        <v>0.32252007101564339</v>
      </c>
      <c r="L48" s="29">
        <f t="shared" si="3"/>
        <v>0</v>
      </c>
    </row>
    <row r="49" spans="2:12" ht="15.75" thickBot="1" x14ac:dyDescent="0.3">
      <c r="C49" s="33">
        <f>AVERAGE(C4:C48)</f>
        <v>24244.562939549443</v>
      </c>
      <c r="D49" s="34">
        <f>AVERAGE(D4:D48)</f>
        <v>57.672527724488901</v>
      </c>
      <c r="E49" s="35">
        <f>AVERAGE(E4:E48)</f>
        <v>24244.563366666669</v>
      </c>
      <c r="F49" s="35">
        <f>AVERAGE(F4:F48)</f>
        <v>18.897365757800006</v>
      </c>
      <c r="G49" s="36">
        <f>AVERAGE(G4:G48)</f>
        <v>1.7253301957498073E-8</v>
      </c>
      <c r="H49" s="37">
        <f>SUM(H4:H48)</f>
        <v>45</v>
      </c>
      <c r="I49" s="38">
        <f>AVERAGE(I4:I48)</f>
        <v>30340.018020000003</v>
      </c>
      <c r="J49" s="38">
        <f>AVERAGE(J4:J48)</f>
        <v>8.1935669666666655E-2</v>
      </c>
      <c r="K49" s="39">
        <f>AVERAGE(K4:K48)</f>
        <v>0.28109023394701993</v>
      </c>
      <c r="L49" s="40">
        <f>SUM(L4:L48)</f>
        <v>0</v>
      </c>
    </row>
    <row r="53" spans="2:12" ht="15.75" thickBot="1" x14ac:dyDescent="0.3"/>
    <row r="54" spans="2:12" x14ac:dyDescent="0.25">
      <c r="B54" s="1"/>
      <c r="C54" s="2" t="s">
        <v>125</v>
      </c>
      <c r="D54" s="3"/>
      <c r="E54" s="4" t="s">
        <v>126</v>
      </c>
      <c r="F54" s="5"/>
      <c r="G54" s="5"/>
      <c r="H54" s="6"/>
      <c r="I54" s="7" t="s">
        <v>247</v>
      </c>
      <c r="J54" s="8"/>
      <c r="K54" s="8"/>
      <c r="L54" s="9"/>
    </row>
    <row r="55" spans="2:12" ht="15.75" thickBot="1" x14ac:dyDescent="0.3">
      <c r="B55" s="10"/>
      <c r="C55" s="11" t="s">
        <v>1</v>
      </c>
      <c r="D55" s="12" t="s">
        <v>2</v>
      </c>
      <c r="E55" s="13" t="s">
        <v>1</v>
      </c>
      <c r="F55" s="14" t="s">
        <v>2</v>
      </c>
      <c r="G55" s="14" t="s">
        <v>3</v>
      </c>
      <c r="H55" s="15" t="s">
        <v>4</v>
      </c>
      <c r="I55" s="16" t="s">
        <v>1</v>
      </c>
      <c r="J55" s="17" t="s">
        <v>2</v>
      </c>
      <c r="K55" s="17" t="s">
        <v>3</v>
      </c>
      <c r="L55" s="18" t="s">
        <v>4</v>
      </c>
    </row>
    <row r="56" spans="2:12" x14ac:dyDescent="0.25">
      <c r="B56" s="52" t="s">
        <v>1018</v>
      </c>
      <c r="C56" s="20">
        <v>218654.59088482498</v>
      </c>
      <c r="D56" s="21">
        <v>310.88720039700002</v>
      </c>
      <c r="E56" s="22">
        <v>218654.59090000001</v>
      </c>
      <c r="F56" s="23">
        <v>68.024469241999995</v>
      </c>
      <c r="G56" s="24">
        <f t="shared" ref="G56:G100" si="4">(E56-C56)/C56</f>
        <v>6.9401827681902535E-11</v>
      </c>
      <c r="H56" s="25">
        <f>IF(G56&lt;0.000001,1,0)</f>
        <v>1</v>
      </c>
      <c r="I56" s="26">
        <v>387798.70990000002</v>
      </c>
      <c r="J56" s="27">
        <v>0.231472439</v>
      </c>
      <c r="K56" s="28">
        <f t="shared" ref="K56:K100" si="5">(I56-C56)/C56</f>
        <v>0.77356765449425524</v>
      </c>
      <c r="L56" s="29">
        <f>IF(K56&lt;0.000001,1,0)</f>
        <v>0</v>
      </c>
    </row>
    <row r="57" spans="2:12" x14ac:dyDescent="0.25">
      <c r="B57" s="43" t="s">
        <v>1019</v>
      </c>
      <c r="C57" s="30">
        <v>222490.04781265999</v>
      </c>
      <c r="D57" s="31">
        <v>273.58799330199997</v>
      </c>
      <c r="E57" s="22">
        <v>222490.0478</v>
      </c>
      <c r="F57" s="23">
        <v>62.880181030999999</v>
      </c>
      <c r="G57" s="24">
        <f t="shared" si="4"/>
        <v>-5.690138390529866E-11</v>
      </c>
      <c r="H57" s="25">
        <f t="shared" ref="H57:H100" si="6">IF(G57&lt;0.000001,1,0)</f>
        <v>1</v>
      </c>
      <c r="I57" s="26">
        <v>329373.99859999999</v>
      </c>
      <c r="J57" s="27">
        <v>0.13997326800000001</v>
      </c>
      <c r="K57" s="28">
        <f t="shared" si="5"/>
        <v>0.48039879463434659</v>
      </c>
      <c r="L57" s="29">
        <f t="shared" ref="L57:L100" si="7">IF(K57&lt;0.000001,1,0)</f>
        <v>0</v>
      </c>
    </row>
    <row r="58" spans="2:12" x14ac:dyDescent="0.25">
      <c r="B58" s="43" t="s">
        <v>1020</v>
      </c>
      <c r="C58" s="30">
        <v>249307.17027844</v>
      </c>
      <c r="D58" s="31">
        <v>399.65922432600001</v>
      </c>
      <c r="E58" s="22">
        <v>249307.1703</v>
      </c>
      <c r="F58" s="23">
        <v>54.427649295000002</v>
      </c>
      <c r="G58" s="24">
        <f t="shared" si="4"/>
        <v>8.647966748387984E-11</v>
      </c>
      <c r="H58" s="25">
        <f t="shared" si="6"/>
        <v>1</v>
      </c>
      <c r="I58" s="26">
        <v>358335.41509999998</v>
      </c>
      <c r="J58" s="27">
        <v>0.139186373</v>
      </c>
      <c r="K58" s="28">
        <f t="shared" si="5"/>
        <v>0.43732494616898193</v>
      </c>
      <c r="L58" s="29">
        <f t="shared" si="7"/>
        <v>0</v>
      </c>
    </row>
    <row r="59" spans="2:12" x14ac:dyDescent="0.25">
      <c r="B59" s="43" t="s">
        <v>1021</v>
      </c>
      <c r="C59" s="30">
        <v>453715.92083763995</v>
      </c>
      <c r="D59" s="31">
        <v>710.75838384400004</v>
      </c>
      <c r="E59" s="22">
        <v>453715.92080000002</v>
      </c>
      <c r="F59" s="23">
        <v>5.3696651590000002</v>
      </c>
      <c r="G59" s="24">
        <f t="shared" si="4"/>
        <v>-8.2959235048536136E-11</v>
      </c>
      <c r="H59" s="25">
        <f t="shared" si="6"/>
        <v>1</v>
      </c>
      <c r="I59" s="26">
        <v>531690.45129999996</v>
      </c>
      <c r="J59" s="27">
        <v>6.8115853000000004E-2</v>
      </c>
      <c r="K59" s="28">
        <f t="shared" si="5"/>
        <v>0.17185760270083805</v>
      </c>
      <c r="L59" s="29">
        <f t="shared" si="7"/>
        <v>0</v>
      </c>
    </row>
    <row r="60" spans="2:12" x14ac:dyDescent="0.25">
      <c r="B60" s="43" t="s">
        <v>1022</v>
      </c>
      <c r="C60" s="30">
        <v>435740.29963846994</v>
      </c>
      <c r="D60" s="31">
        <v>382.755544644</v>
      </c>
      <c r="E60" s="22">
        <v>435740.29960000003</v>
      </c>
      <c r="F60" s="23">
        <v>5.1704695279999999</v>
      </c>
      <c r="G60" s="24">
        <f t="shared" si="4"/>
        <v>-8.8286322818697458E-11</v>
      </c>
      <c r="H60" s="25">
        <f t="shared" si="6"/>
        <v>1</v>
      </c>
      <c r="I60" s="26">
        <v>490477.17190000002</v>
      </c>
      <c r="J60" s="27">
        <v>2.8111427000000001E-2</v>
      </c>
      <c r="K60" s="28">
        <f t="shared" si="5"/>
        <v>0.12561810855444125</v>
      </c>
      <c r="L60" s="29">
        <f t="shared" si="7"/>
        <v>0</v>
      </c>
    </row>
    <row r="61" spans="2:12" x14ac:dyDescent="0.25">
      <c r="B61" s="43" t="s">
        <v>1023</v>
      </c>
      <c r="C61" s="30">
        <v>485158.81898228009</v>
      </c>
      <c r="D61" s="31">
        <v>755.58033153700001</v>
      </c>
      <c r="E61" s="22">
        <v>485158.81900000002</v>
      </c>
      <c r="F61" s="23">
        <v>4.5475739969999998</v>
      </c>
      <c r="G61" s="24">
        <f t="shared" si="4"/>
        <v>3.6523968415980564E-11</v>
      </c>
      <c r="H61" s="25">
        <f t="shared" si="6"/>
        <v>1</v>
      </c>
      <c r="I61" s="26">
        <v>572495.04680000001</v>
      </c>
      <c r="J61" s="27">
        <v>2.8895112000000001E-2</v>
      </c>
      <c r="K61" s="28">
        <f t="shared" si="5"/>
        <v>0.18001574824698752</v>
      </c>
      <c r="L61" s="29">
        <f t="shared" si="7"/>
        <v>0</v>
      </c>
    </row>
    <row r="62" spans="2:12" x14ac:dyDescent="0.25">
      <c r="B62" s="43" t="s">
        <v>1024</v>
      </c>
      <c r="C62" s="30">
        <v>404200.70175016008</v>
      </c>
      <c r="D62" s="31">
        <v>654.78001559400002</v>
      </c>
      <c r="E62" s="22">
        <v>404200.70179999998</v>
      </c>
      <c r="F62" s="23">
        <v>7.2789765790000001</v>
      </c>
      <c r="G62" s="24">
        <f t="shared" si="4"/>
        <v>1.2330483838283027E-10</v>
      </c>
      <c r="H62" s="25">
        <f t="shared" si="6"/>
        <v>1</v>
      </c>
      <c r="I62" s="26">
        <v>514576.70510000002</v>
      </c>
      <c r="J62" s="27">
        <v>4.1207237000000001E-2</v>
      </c>
      <c r="K62" s="28">
        <f t="shared" si="5"/>
        <v>0.27307227046345978</v>
      </c>
      <c r="L62" s="29">
        <f t="shared" si="7"/>
        <v>0</v>
      </c>
    </row>
    <row r="63" spans="2:12" x14ac:dyDescent="0.25">
      <c r="B63" s="43" t="s">
        <v>1025</v>
      </c>
      <c r="C63" s="30">
        <v>381424.05585021485</v>
      </c>
      <c r="D63" s="31">
        <v>430.97907977099999</v>
      </c>
      <c r="E63" s="22">
        <v>381424.05589999998</v>
      </c>
      <c r="F63" s="23">
        <v>8.6235788899999992</v>
      </c>
      <c r="G63" s="24">
        <f t="shared" si="4"/>
        <v>1.3052435479885177E-10</v>
      </c>
      <c r="H63" s="25">
        <f t="shared" si="6"/>
        <v>1</v>
      </c>
      <c r="I63" s="26">
        <v>465050.0122</v>
      </c>
      <c r="J63" s="27">
        <v>4.0039189000000003E-2</v>
      </c>
      <c r="K63" s="28">
        <f t="shared" si="5"/>
        <v>0.21924667589037711</v>
      </c>
      <c r="L63" s="29">
        <f t="shared" si="7"/>
        <v>0</v>
      </c>
    </row>
    <row r="64" spans="2:12" x14ac:dyDescent="0.25">
      <c r="B64" s="43" t="s">
        <v>1026</v>
      </c>
      <c r="C64" s="30">
        <v>427225.92068118002</v>
      </c>
      <c r="D64" s="31">
        <v>397.73005526499998</v>
      </c>
      <c r="E64" s="22">
        <v>427225.92070000002</v>
      </c>
      <c r="F64" s="23">
        <v>9.8640913430000001</v>
      </c>
      <c r="G64" s="24">
        <f t="shared" si="4"/>
        <v>4.4051615442339661E-11</v>
      </c>
      <c r="H64" s="25">
        <f t="shared" si="6"/>
        <v>1</v>
      </c>
      <c r="I64" s="26">
        <v>513462.10279999999</v>
      </c>
      <c r="J64" s="27">
        <v>4.1515610000000001E-2</v>
      </c>
      <c r="K64" s="28">
        <f t="shared" si="5"/>
        <v>0.2018514746982645</v>
      </c>
      <c r="L64" s="29">
        <f t="shared" si="7"/>
        <v>0</v>
      </c>
    </row>
    <row r="65" spans="2:12" x14ac:dyDescent="0.25">
      <c r="B65" s="43" t="s">
        <v>1027</v>
      </c>
      <c r="C65" s="30">
        <v>358884.63918469014</v>
      </c>
      <c r="D65" s="31">
        <v>518.80676649300005</v>
      </c>
      <c r="E65" s="22">
        <v>358884.63919999998</v>
      </c>
      <c r="F65" s="23">
        <v>15.512912514</v>
      </c>
      <c r="G65" s="24">
        <f t="shared" si="4"/>
        <v>4.2659494192623614E-11</v>
      </c>
      <c r="H65" s="25">
        <f t="shared" si="6"/>
        <v>1</v>
      </c>
      <c r="I65" s="26">
        <v>494201.01569999999</v>
      </c>
      <c r="J65" s="27">
        <v>5.6102196E-2</v>
      </c>
      <c r="K65" s="28">
        <f t="shared" si="5"/>
        <v>0.3770469999014725</v>
      </c>
      <c r="L65" s="29">
        <f t="shared" si="7"/>
        <v>0</v>
      </c>
    </row>
    <row r="66" spans="2:12" x14ac:dyDescent="0.25">
      <c r="B66" s="43" t="s">
        <v>1028</v>
      </c>
      <c r="C66" s="30">
        <v>347049.20886679</v>
      </c>
      <c r="D66" s="31">
        <v>396.32456613699998</v>
      </c>
      <c r="E66" s="22">
        <v>347049.20890000003</v>
      </c>
      <c r="F66" s="23">
        <v>15.569640742000001</v>
      </c>
      <c r="G66" s="24">
        <f t="shared" si="4"/>
        <v>9.569257281021654E-11</v>
      </c>
      <c r="H66" s="25">
        <f t="shared" si="6"/>
        <v>1</v>
      </c>
      <c r="I66" s="26">
        <v>442258.84749999997</v>
      </c>
      <c r="J66" s="27">
        <v>5.3315052000000002E-2</v>
      </c>
      <c r="K66" s="28">
        <f t="shared" si="5"/>
        <v>0.27434045720517652</v>
      </c>
      <c r="L66" s="29">
        <f t="shared" si="7"/>
        <v>0</v>
      </c>
    </row>
    <row r="67" spans="2:12" x14ac:dyDescent="0.25">
      <c r="B67" s="43" t="s">
        <v>1029</v>
      </c>
      <c r="C67" s="30">
        <v>367590.5349354549</v>
      </c>
      <c r="D67" s="31">
        <v>443.51588890300002</v>
      </c>
      <c r="E67" s="22">
        <v>367590.53490000003</v>
      </c>
      <c r="F67" s="23">
        <v>16.193886791000001</v>
      </c>
      <c r="G67" s="24">
        <f t="shared" si="4"/>
        <v>-9.6452070903369808E-11</v>
      </c>
      <c r="H67" s="25">
        <f t="shared" si="6"/>
        <v>1</v>
      </c>
      <c r="I67" s="26">
        <v>471684.97769999999</v>
      </c>
      <c r="J67" s="27">
        <v>5.6463301E-2</v>
      </c>
      <c r="K67" s="28">
        <f t="shared" si="5"/>
        <v>0.28318042188660542</v>
      </c>
      <c r="L67" s="29">
        <f t="shared" si="7"/>
        <v>0</v>
      </c>
    </row>
    <row r="68" spans="2:12" x14ac:dyDescent="0.25">
      <c r="B68" s="43" t="s">
        <v>1030</v>
      </c>
      <c r="C68" s="30">
        <v>324775.89255474007</v>
      </c>
      <c r="D68" s="31">
        <v>434.26612674900002</v>
      </c>
      <c r="E68" s="22">
        <v>324775.89260000002</v>
      </c>
      <c r="F68" s="23">
        <v>20.625357069</v>
      </c>
      <c r="G68" s="24">
        <f t="shared" si="4"/>
        <v>1.393574765166638E-10</v>
      </c>
      <c r="H68" s="25">
        <f t="shared" si="6"/>
        <v>1</v>
      </c>
      <c r="I68" s="26">
        <v>453233.04070000001</v>
      </c>
      <c r="J68" s="27">
        <v>9.4089607000000006E-2</v>
      </c>
      <c r="K68" s="28">
        <f t="shared" si="5"/>
        <v>0.39552550263135322</v>
      </c>
      <c r="L68" s="29">
        <f t="shared" si="7"/>
        <v>0</v>
      </c>
    </row>
    <row r="69" spans="2:12" x14ac:dyDescent="0.25">
      <c r="B69" s="43" t="s">
        <v>1031</v>
      </c>
      <c r="C69" s="30">
        <v>315786.95243140997</v>
      </c>
      <c r="D69" s="31">
        <v>345.14799529800001</v>
      </c>
      <c r="E69" s="22">
        <v>315786.95240000001</v>
      </c>
      <c r="F69" s="23">
        <v>22.391044009000002</v>
      </c>
      <c r="G69" s="24">
        <f t="shared" si="4"/>
        <v>-9.9465666749758199E-11</v>
      </c>
      <c r="H69" s="25">
        <f t="shared" si="6"/>
        <v>1</v>
      </c>
      <c r="I69" s="26">
        <v>423272.18290000001</v>
      </c>
      <c r="J69" s="27">
        <v>7.5778603E-2</v>
      </c>
      <c r="K69" s="28">
        <f t="shared" si="5"/>
        <v>0.34037261400765512</v>
      </c>
      <c r="L69" s="29">
        <f t="shared" si="7"/>
        <v>0</v>
      </c>
    </row>
    <row r="70" spans="2:12" x14ac:dyDescent="0.25">
      <c r="B70" s="43" t="s">
        <v>1032</v>
      </c>
      <c r="C70" s="30">
        <v>331973.46324306499</v>
      </c>
      <c r="D70" s="31">
        <v>358.951000018</v>
      </c>
      <c r="E70" s="22">
        <v>331973.4632</v>
      </c>
      <c r="F70" s="23">
        <v>19.520772748999999</v>
      </c>
      <c r="G70" s="24">
        <f t="shared" si="4"/>
        <v>-1.2972421263370187E-10</v>
      </c>
      <c r="H70" s="25">
        <f t="shared" si="6"/>
        <v>1</v>
      </c>
      <c r="I70" s="26">
        <v>422632.70280000003</v>
      </c>
      <c r="J70" s="27">
        <v>0.15532284099999999</v>
      </c>
      <c r="K70" s="28">
        <f t="shared" si="5"/>
        <v>0.27309182689266936</v>
      </c>
      <c r="L70" s="29">
        <f t="shared" si="7"/>
        <v>0</v>
      </c>
    </row>
    <row r="71" spans="2:12" x14ac:dyDescent="0.25">
      <c r="B71" s="43" t="s">
        <v>1033</v>
      </c>
      <c r="C71" s="30">
        <v>274671.87589595496</v>
      </c>
      <c r="D71" s="31">
        <v>505.34318216700001</v>
      </c>
      <c r="E71" s="22">
        <v>274671.87589999998</v>
      </c>
      <c r="F71" s="23">
        <v>85.448276191000005</v>
      </c>
      <c r="G71" s="24">
        <f t="shared" si="4"/>
        <v>1.4726753391351346E-11</v>
      </c>
      <c r="H71" s="25">
        <f t="shared" si="6"/>
        <v>1</v>
      </c>
      <c r="I71" s="26">
        <v>488174.24560000002</v>
      </c>
      <c r="J71" s="27">
        <v>0.21392886999999999</v>
      </c>
      <c r="K71" s="28">
        <f t="shared" si="5"/>
        <v>0.7772997108190256</v>
      </c>
      <c r="L71" s="29">
        <f t="shared" si="7"/>
        <v>0</v>
      </c>
    </row>
    <row r="72" spans="2:12" x14ac:dyDescent="0.25">
      <c r="B72" s="43" t="s">
        <v>1034</v>
      </c>
      <c r="C72" s="30">
        <v>240144.42194690008</v>
      </c>
      <c r="D72" s="31">
        <v>477.51629735199998</v>
      </c>
      <c r="E72" s="22">
        <v>240923.4264</v>
      </c>
      <c r="F72" s="23">
        <v>64.101931739999998</v>
      </c>
      <c r="G72" s="24">
        <f t="shared" si="4"/>
        <v>3.2438998448698743E-3</v>
      </c>
      <c r="H72" s="25">
        <f t="shared" si="6"/>
        <v>0</v>
      </c>
      <c r="I72" s="26">
        <v>383647.64199999999</v>
      </c>
      <c r="J72" s="27">
        <v>0.13714145799999999</v>
      </c>
      <c r="K72" s="28">
        <f t="shared" si="5"/>
        <v>0.59757049066428392</v>
      </c>
      <c r="L72" s="29">
        <f t="shared" si="7"/>
        <v>0</v>
      </c>
    </row>
    <row r="73" spans="2:12" x14ac:dyDescent="0.25">
      <c r="B73" s="43" t="s">
        <v>1035</v>
      </c>
      <c r="C73" s="30">
        <v>238795.9718745201</v>
      </c>
      <c r="D73" s="31">
        <v>330.55178079000001</v>
      </c>
      <c r="E73" s="22">
        <v>238795.9719</v>
      </c>
      <c r="F73" s="23">
        <v>69.551723480000007</v>
      </c>
      <c r="G73" s="24">
        <f t="shared" si="4"/>
        <v>1.0670158545698374E-10</v>
      </c>
      <c r="H73" s="25">
        <f t="shared" si="6"/>
        <v>1</v>
      </c>
      <c r="I73" s="26">
        <v>432318.71240000002</v>
      </c>
      <c r="J73" s="27">
        <v>0.13454369699999999</v>
      </c>
      <c r="K73" s="28">
        <f t="shared" si="5"/>
        <v>0.81041040603134684</v>
      </c>
      <c r="L73" s="29">
        <f t="shared" si="7"/>
        <v>0</v>
      </c>
    </row>
    <row r="74" spans="2:12" x14ac:dyDescent="0.25">
      <c r="B74" s="43" t="s">
        <v>1036</v>
      </c>
      <c r="C74" s="30">
        <v>537741.78338331496</v>
      </c>
      <c r="D74" s="31">
        <v>579.42616270400003</v>
      </c>
      <c r="E74" s="22">
        <v>537741.78339999996</v>
      </c>
      <c r="F74" s="23">
        <v>4.8386392090000001</v>
      </c>
      <c r="G74" s="24">
        <f t="shared" si="4"/>
        <v>3.1027890496484491E-11</v>
      </c>
      <c r="H74" s="25">
        <f t="shared" si="6"/>
        <v>1</v>
      </c>
      <c r="I74" s="26">
        <v>599503.40590000001</v>
      </c>
      <c r="J74" s="27">
        <v>3.4519069999999999E-2</v>
      </c>
      <c r="K74" s="28">
        <f t="shared" si="5"/>
        <v>0.11485367963802046</v>
      </c>
      <c r="L74" s="29">
        <f t="shared" si="7"/>
        <v>0</v>
      </c>
    </row>
    <row r="75" spans="2:12" x14ac:dyDescent="0.25">
      <c r="B75" s="43" t="s">
        <v>1037</v>
      </c>
      <c r="C75" s="30">
        <v>454742.98797462991</v>
      </c>
      <c r="D75" s="31">
        <v>418.81039730999998</v>
      </c>
      <c r="E75" s="22">
        <v>454742.98800000001</v>
      </c>
      <c r="F75" s="23">
        <v>5.3269930009999999</v>
      </c>
      <c r="G75" s="24">
        <f t="shared" si="4"/>
        <v>5.5789975257089027E-11</v>
      </c>
      <c r="H75" s="25">
        <f t="shared" si="6"/>
        <v>1</v>
      </c>
      <c r="I75" s="26">
        <v>571345.65749999997</v>
      </c>
      <c r="J75" s="27">
        <v>5.3014216000000003E-2</v>
      </c>
      <c r="K75" s="28">
        <f t="shared" si="5"/>
        <v>0.25641444202296376</v>
      </c>
      <c r="L75" s="29">
        <f t="shared" si="7"/>
        <v>0</v>
      </c>
    </row>
    <row r="76" spans="2:12" x14ac:dyDescent="0.25">
      <c r="B76" s="43" t="s">
        <v>1038</v>
      </c>
      <c r="C76" s="30">
        <v>503515.17236599</v>
      </c>
      <c r="D76" s="31">
        <v>578.87834773400004</v>
      </c>
      <c r="E76" s="22">
        <v>503515.17239999998</v>
      </c>
      <c r="F76" s="23">
        <v>4.8193476110000004</v>
      </c>
      <c r="G76" s="24">
        <f t="shared" si="4"/>
        <v>6.7545093849577788E-11</v>
      </c>
      <c r="H76" s="25">
        <f t="shared" si="6"/>
        <v>1</v>
      </c>
      <c r="I76" s="26">
        <v>653797.23349999997</v>
      </c>
      <c r="J76" s="27">
        <v>2.9031179000000001E-2</v>
      </c>
      <c r="K76" s="28">
        <f t="shared" si="5"/>
        <v>0.29846580476978052</v>
      </c>
      <c r="L76" s="29">
        <f t="shared" si="7"/>
        <v>0</v>
      </c>
    </row>
    <row r="77" spans="2:12" x14ac:dyDescent="0.25">
      <c r="B77" s="43" t="s">
        <v>1039</v>
      </c>
      <c r="C77" s="30">
        <v>473559.26250724483</v>
      </c>
      <c r="D77" s="31">
        <v>636.31434551400002</v>
      </c>
      <c r="E77" s="22">
        <v>473559.26250000001</v>
      </c>
      <c r="F77" s="23">
        <v>8.6238679759999997</v>
      </c>
      <c r="G77" s="24">
        <f t="shared" si="4"/>
        <v>-1.5298648108448486E-11</v>
      </c>
      <c r="H77" s="25">
        <f t="shared" si="6"/>
        <v>1</v>
      </c>
      <c r="I77" s="26">
        <v>595357.03980000003</v>
      </c>
      <c r="J77" s="27">
        <v>5.2344211000000002E-2</v>
      </c>
      <c r="K77" s="28">
        <f t="shared" si="5"/>
        <v>0.25719648402166317</v>
      </c>
      <c r="L77" s="29">
        <f t="shared" si="7"/>
        <v>0</v>
      </c>
    </row>
    <row r="78" spans="2:12" x14ac:dyDescent="0.25">
      <c r="B78" s="43" t="s">
        <v>1040</v>
      </c>
      <c r="C78" s="30">
        <v>416864.06837498001</v>
      </c>
      <c r="D78" s="31">
        <v>513.85253156399995</v>
      </c>
      <c r="E78" s="22">
        <v>416864.06839999999</v>
      </c>
      <c r="F78" s="23">
        <v>9.2803140099999997</v>
      </c>
      <c r="G78" s="24">
        <f t="shared" si="4"/>
        <v>6.0019519227401272E-11</v>
      </c>
      <c r="H78" s="25">
        <f t="shared" si="6"/>
        <v>1</v>
      </c>
      <c r="I78" s="26">
        <v>545218.54269999999</v>
      </c>
      <c r="J78" s="27">
        <v>6.3613546000000007E-2</v>
      </c>
      <c r="K78" s="28">
        <f t="shared" si="5"/>
        <v>0.3079048641092324</v>
      </c>
      <c r="L78" s="29">
        <f t="shared" si="7"/>
        <v>0</v>
      </c>
    </row>
    <row r="79" spans="2:12" x14ac:dyDescent="0.25">
      <c r="B79" s="43" t="s">
        <v>1041</v>
      </c>
      <c r="C79" s="30">
        <v>426769.96353998</v>
      </c>
      <c r="D79" s="31">
        <v>351.21453800299997</v>
      </c>
      <c r="E79" s="22">
        <v>426769.96350000001</v>
      </c>
      <c r="F79" s="23">
        <v>10.630661604</v>
      </c>
      <c r="G79" s="24">
        <f t="shared" si="4"/>
        <v>-9.3680421589301134E-11</v>
      </c>
      <c r="H79" s="25">
        <f t="shared" si="6"/>
        <v>1</v>
      </c>
      <c r="I79" s="26">
        <v>596570.92550000001</v>
      </c>
      <c r="J79" s="27">
        <v>4.4297717E-2</v>
      </c>
      <c r="K79" s="28">
        <f t="shared" si="5"/>
        <v>0.39787467831979462</v>
      </c>
      <c r="L79" s="29">
        <f t="shared" si="7"/>
        <v>0</v>
      </c>
    </row>
    <row r="80" spans="2:12" x14ac:dyDescent="0.25">
      <c r="B80" s="43" t="s">
        <v>1042</v>
      </c>
      <c r="C80" s="30">
        <v>431868.07630232</v>
      </c>
      <c r="D80" s="31">
        <v>594.58259204599995</v>
      </c>
      <c r="E80" s="22">
        <v>431868.07630000002</v>
      </c>
      <c r="F80" s="23">
        <v>16.506803384000001</v>
      </c>
      <c r="G80" s="24">
        <f t="shared" si="4"/>
        <v>-5.3719709057726603E-12</v>
      </c>
      <c r="H80" s="25">
        <f t="shared" si="6"/>
        <v>1</v>
      </c>
      <c r="I80" s="26">
        <v>582423.36840000004</v>
      </c>
      <c r="J80" s="27">
        <v>5.6806474000000003E-2</v>
      </c>
      <c r="K80" s="28">
        <f t="shared" si="5"/>
        <v>0.34861407999114763</v>
      </c>
      <c r="L80" s="29">
        <f t="shared" si="7"/>
        <v>0</v>
      </c>
    </row>
    <row r="81" spans="2:12" x14ac:dyDescent="0.25">
      <c r="B81" s="43" t="s">
        <v>1043</v>
      </c>
      <c r="C81" s="30">
        <v>371372.47686342004</v>
      </c>
      <c r="D81" s="31">
        <v>487.300277924</v>
      </c>
      <c r="E81" s="22">
        <v>371372.47690000001</v>
      </c>
      <c r="F81" s="23">
        <v>15.800691617</v>
      </c>
      <c r="G81" s="24">
        <f t="shared" si="4"/>
        <v>9.8499394801008872E-11</v>
      </c>
      <c r="H81" s="25">
        <f t="shared" si="6"/>
        <v>1</v>
      </c>
      <c r="I81" s="26">
        <v>508078.31640000001</v>
      </c>
      <c r="J81" s="27">
        <v>5.6115056000000003E-2</v>
      </c>
      <c r="K81" s="28">
        <f t="shared" si="5"/>
        <v>0.36810977671578066</v>
      </c>
      <c r="L81" s="29">
        <f t="shared" si="7"/>
        <v>0</v>
      </c>
    </row>
    <row r="82" spans="2:12" x14ac:dyDescent="0.25">
      <c r="B82" s="43" t="s">
        <v>1044</v>
      </c>
      <c r="C82" s="30">
        <v>363878.3229929551</v>
      </c>
      <c r="D82" s="31">
        <v>345.70984159300002</v>
      </c>
      <c r="E82" s="22">
        <v>363878.32299999997</v>
      </c>
      <c r="F82" s="23">
        <v>13.541171989</v>
      </c>
      <c r="G82" s="24">
        <f t="shared" si="4"/>
        <v>1.9360519039473954E-11</v>
      </c>
      <c r="H82" s="25">
        <f t="shared" si="6"/>
        <v>1</v>
      </c>
      <c r="I82" s="26">
        <v>546331.67790000001</v>
      </c>
      <c r="J82" s="27">
        <v>6.0113353000000001E-2</v>
      </c>
      <c r="K82" s="28">
        <f t="shared" si="5"/>
        <v>0.50141309162452452</v>
      </c>
      <c r="L82" s="29">
        <f t="shared" si="7"/>
        <v>0</v>
      </c>
    </row>
    <row r="83" spans="2:12" x14ac:dyDescent="0.25">
      <c r="B83" s="43" t="s">
        <v>1045</v>
      </c>
      <c r="C83" s="30">
        <v>394386.98660300492</v>
      </c>
      <c r="D83" s="31">
        <v>485.951681388</v>
      </c>
      <c r="E83" s="22">
        <v>394386.9866</v>
      </c>
      <c r="F83" s="23">
        <v>19.258304044999999</v>
      </c>
      <c r="G83" s="24">
        <f t="shared" si="4"/>
        <v>-7.6191973596269418E-12</v>
      </c>
      <c r="H83" s="25">
        <f t="shared" si="6"/>
        <v>1</v>
      </c>
      <c r="I83" s="26">
        <v>582320.31499999994</v>
      </c>
      <c r="J83" s="27">
        <v>0.12280424099999999</v>
      </c>
      <c r="K83" s="28">
        <f t="shared" si="5"/>
        <v>0.47652010533037992</v>
      </c>
      <c r="L83" s="29">
        <f t="shared" si="7"/>
        <v>0</v>
      </c>
    </row>
    <row r="84" spans="2:12" x14ac:dyDescent="0.25">
      <c r="B84" s="43" t="s">
        <v>1046</v>
      </c>
      <c r="C84" s="30">
        <v>327356.30489548011</v>
      </c>
      <c r="D84" s="31">
        <v>406.77261637599997</v>
      </c>
      <c r="E84" s="22">
        <v>327356.30489999999</v>
      </c>
      <c r="F84" s="23">
        <v>21.013798967</v>
      </c>
      <c r="G84" s="24">
        <f t="shared" si="4"/>
        <v>1.3807227812626941E-11</v>
      </c>
      <c r="H84" s="25">
        <f t="shared" si="6"/>
        <v>1</v>
      </c>
      <c r="I84" s="26">
        <v>493196.26309999998</v>
      </c>
      <c r="J84" s="27">
        <v>7.8447189000000001E-2</v>
      </c>
      <c r="K84" s="28">
        <f t="shared" si="5"/>
        <v>0.50660383112972285</v>
      </c>
      <c r="L84" s="29">
        <f t="shared" si="7"/>
        <v>0</v>
      </c>
    </row>
    <row r="85" spans="2:12" x14ac:dyDescent="0.25">
      <c r="B85" s="43" t="s">
        <v>1047</v>
      </c>
      <c r="C85" s="30">
        <v>327509.60447028489</v>
      </c>
      <c r="D85" s="31">
        <v>385.823264956</v>
      </c>
      <c r="E85" s="22">
        <v>327509.60450000002</v>
      </c>
      <c r="F85" s="23">
        <v>25.391895779999999</v>
      </c>
      <c r="G85" s="24">
        <f t="shared" si="4"/>
        <v>9.0730552344284024E-11</v>
      </c>
      <c r="H85" s="25">
        <f t="shared" si="6"/>
        <v>1</v>
      </c>
      <c r="I85" s="26">
        <v>494684.9755</v>
      </c>
      <c r="J85" s="27">
        <v>6.6548882000000004E-2</v>
      </c>
      <c r="K85" s="28">
        <f t="shared" si="5"/>
        <v>0.51044417857639657</v>
      </c>
      <c r="L85" s="29">
        <f t="shared" si="7"/>
        <v>0</v>
      </c>
    </row>
    <row r="86" spans="2:12" x14ac:dyDescent="0.25">
      <c r="B86" s="43" t="s">
        <v>1048</v>
      </c>
      <c r="C86" s="30">
        <v>239142.06199383509</v>
      </c>
      <c r="D86" s="31">
        <v>517.63832096700003</v>
      </c>
      <c r="E86" s="22">
        <v>239142.06200000001</v>
      </c>
      <c r="F86" s="23">
        <v>76.761602787000001</v>
      </c>
      <c r="G86" s="24">
        <f t="shared" si="4"/>
        <v>2.5779316424295713E-11</v>
      </c>
      <c r="H86" s="25">
        <f t="shared" si="6"/>
        <v>1</v>
      </c>
      <c r="I86" s="26">
        <v>401782.11440000002</v>
      </c>
      <c r="J86" s="27">
        <v>0.158106203</v>
      </c>
      <c r="K86" s="28">
        <f t="shared" si="5"/>
        <v>0.68009805991535555</v>
      </c>
      <c r="L86" s="29">
        <f t="shared" si="7"/>
        <v>0</v>
      </c>
    </row>
    <row r="87" spans="2:12" x14ac:dyDescent="0.25">
      <c r="B87" s="43" t="s">
        <v>1049</v>
      </c>
      <c r="C87" s="30">
        <v>263311.00595580996</v>
      </c>
      <c r="D87" s="31">
        <v>419.52968415399999</v>
      </c>
      <c r="E87" s="22">
        <v>263311.00599999999</v>
      </c>
      <c r="F87" s="23">
        <v>75.748270731999995</v>
      </c>
      <c r="G87" s="24">
        <f t="shared" si="4"/>
        <v>1.6782448437435025E-10</v>
      </c>
      <c r="H87" s="25">
        <f t="shared" si="6"/>
        <v>1</v>
      </c>
      <c r="I87" s="26">
        <v>352092.39429999999</v>
      </c>
      <c r="J87" s="27">
        <v>0.16495527199999999</v>
      </c>
      <c r="K87" s="28">
        <f t="shared" si="5"/>
        <v>0.33717310076696799</v>
      </c>
      <c r="L87" s="29">
        <f t="shared" si="7"/>
        <v>0</v>
      </c>
    </row>
    <row r="88" spans="2:12" x14ac:dyDescent="0.25">
      <c r="B88" s="43" t="s">
        <v>1050</v>
      </c>
      <c r="C88" s="30">
        <v>262771.57934984507</v>
      </c>
      <c r="D88" s="31">
        <v>375.97538125599999</v>
      </c>
      <c r="E88" s="22">
        <v>262771.57929999998</v>
      </c>
      <c r="F88" s="23">
        <v>61.212083999999997</v>
      </c>
      <c r="G88" s="24">
        <f t="shared" si="4"/>
        <v>-1.8968977850907286E-10</v>
      </c>
      <c r="H88" s="25">
        <f t="shared" si="6"/>
        <v>1</v>
      </c>
      <c r="I88" s="26">
        <v>450422.59120000002</v>
      </c>
      <c r="J88" s="27">
        <v>0.13698199</v>
      </c>
      <c r="K88" s="28">
        <f t="shared" si="5"/>
        <v>0.71412217529173061</v>
      </c>
      <c r="L88" s="29">
        <f t="shared" si="7"/>
        <v>0</v>
      </c>
    </row>
    <row r="89" spans="2:12" x14ac:dyDescent="0.25">
      <c r="B89" s="43" t="s">
        <v>1051</v>
      </c>
      <c r="C89" s="30">
        <v>498815.60988743993</v>
      </c>
      <c r="D89" s="31">
        <v>634.54484447599998</v>
      </c>
      <c r="E89" s="22">
        <v>498815.60989999998</v>
      </c>
      <c r="F89" s="23">
        <v>5.2711060610000002</v>
      </c>
      <c r="G89" s="24">
        <f t="shared" si="4"/>
        <v>2.5179743422107883E-11</v>
      </c>
      <c r="H89" s="25">
        <f t="shared" si="6"/>
        <v>1</v>
      </c>
      <c r="I89" s="26">
        <v>628979.19400000002</v>
      </c>
      <c r="J89" s="27">
        <v>3.2711491000000002E-2</v>
      </c>
      <c r="K89" s="28">
        <f t="shared" si="5"/>
        <v>0.26094529026854651</v>
      </c>
      <c r="L89" s="29">
        <f t="shared" si="7"/>
        <v>0</v>
      </c>
    </row>
    <row r="90" spans="2:12" x14ac:dyDescent="0.25">
      <c r="B90" s="43" t="s">
        <v>1052</v>
      </c>
      <c r="C90" s="30">
        <v>542530.54524239013</v>
      </c>
      <c r="D90" s="31">
        <v>586.66707047399996</v>
      </c>
      <c r="E90" s="22">
        <v>542530.54520000005</v>
      </c>
      <c r="F90" s="23">
        <v>4.9847408949999998</v>
      </c>
      <c r="G90" s="24">
        <f t="shared" si="4"/>
        <v>-7.813399388832423E-11</v>
      </c>
      <c r="H90" s="25">
        <f t="shared" si="6"/>
        <v>1</v>
      </c>
      <c r="I90" s="26">
        <v>594160.51939999999</v>
      </c>
      <c r="J90" s="27">
        <v>3.4378598000000003E-2</v>
      </c>
      <c r="K90" s="28">
        <f t="shared" si="5"/>
        <v>9.516510104429747E-2</v>
      </c>
      <c r="L90" s="29">
        <f t="shared" si="7"/>
        <v>0</v>
      </c>
    </row>
    <row r="91" spans="2:12" x14ac:dyDescent="0.25">
      <c r="B91" s="43" t="s">
        <v>1053</v>
      </c>
      <c r="C91" s="30">
        <v>520016.26503073011</v>
      </c>
      <c r="D91" s="31">
        <v>891.00377581700002</v>
      </c>
      <c r="E91" s="22">
        <v>520016.26500000001</v>
      </c>
      <c r="F91" s="23">
        <v>5.3963495899999998</v>
      </c>
      <c r="G91" s="24">
        <f t="shared" si="4"/>
        <v>-5.9094486771830279E-11</v>
      </c>
      <c r="H91" s="25">
        <f t="shared" si="6"/>
        <v>1</v>
      </c>
      <c r="I91" s="26">
        <v>684538.05610000005</v>
      </c>
      <c r="J91" s="27">
        <v>3.1794388999999999E-2</v>
      </c>
      <c r="K91" s="28">
        <f t="shared" si="5"/>
        <v>0.31637816378598771</v>
      </c>
      <c r="L91" s="29">
        <f t="shared" si="7"/>
        <v>0</v>
      </c>
    </row>
    <row r="92" spans="2:12" x14ac:dyDescent="0.25">
      <c r="B92" s="43" t="s">
        <v>1054</v>
      </c>
      <c r="C92" s="30">
        <v>438641.24763294996</v>
      </c>
      <c r="D92" s="31">
        <v>595.28127365099999</v>
      </c>
      <c r="E92" s="22">
        <v>438641.2476</v>
      </c>
      <c r="F92" s="23">
        <v>12.914066503000001</v>
      </c>
      <c r="G92" s="24">
        <f t="shared" si="4"/>
        <v>-7.5118243067793133E-11</v>
      </c>
      <c r="H92" s="25">
        <f t="shared" si="6"/>
        <v>1</v>
      </c>
      <c r="I92" s="26">
        <v>476296.63140000001</v>
      </c>
      <c r="J92" s="27">
        <v>8.0155959999999998E-2</v>
      </c>
      <c r="K92" s="28">
        <f t="shared" si="5"/>
        <v>8.584551491737423E-2</v>
      </c>
      <c r="L92" s="29">
        <f t="shared" si="7"/>
        <v>0</v>
      </c>
    </row>
    <row r="93" spans="2:12" x14ac:dyDescent="0.25">
      <c r="B93" s="43" t="s">
        <v>1055</v>
      </c>
      <c r="C93" s="30">
        <v>459740.26816621004</v>
      </c>
      <c r="D93" s="31">
        <v>595.85323232899998</v>
      </c>
      <c r="E93" s="22">
        <v>459740.26819999999</v>
      </c>
      <c r="F93" s="23">
        <v>10.486095577</v>
      </c>
      <c r="G93" s="24">
        <f t="shared" si="4"/>
        <v>7.3497922530636654E-11</v>
      </c>
      <c r="H93" s="25">
        <f t="shared" si="6"/>
        <v>1</v>
      </c>
      <c r="I93" s="26">
        <v>536444.3432</v>
      </c>
      <c r="J93" s="27">
        <v>5.1504754999999999E-2</v>
      </c>
      <c r="K93" s="28">
        <f t="shared" si="5"/>
        <v>0.16684219404957393</v>
      </c>
      <c r="L93" s="29">
        <f t="shared" si="7"/>
        <v>0</v>
      </c>
    </row>
    <row r="94" spans="2:12" x14ac:dyDescent="0.25">
      <c r="B94" s="43" t="s">
        <v>1056</v>
      </c>
      <c r="C94" s="30">
        <v>458581.54738397966</v>
      </c>
      <c r="D94" s="31">
        <v>524.851694705</v>
      </c>
      <c r="E94" s="22">
        <v>458581.54739999998</v>
      </c>
      <c r="F94" s="23">
        <v>9.2451838760000005</v>
      </c>
      <c r="G94" s="24">
        <f t="shared" si="4"/>
        <v>3.4934506156255684E-11</v>
      </c>
      <c r="H94" s="25">
        <f t="shared" si="6"/>
        <v>1</v>
      </c>
      <c r="I94" s="26">
        <v>587925.48300000001</v>
      </c>
      <c r="J94" s="27">
        <v>5.3957418E-2</v>
      </c>
      <c r="K94" s="28">
        <f t="shared" si="5"/>
        <v>0.28205220282820936</v>
      </c>
      <c r="L94" s="29">
        <f t="shared" si="7"/>
        <v>0</v>
      </c>
    </row>
    <row r="95" spans="2:12" x14ac:dyDescent="0.25">
      <c r="B95" s="43" t="s">
        <v>1057</v>
      </c>
      <c r="C95" s="30">
        <v>391249.09623746987</v>
      </c>
      <c r="D95" s="31">
        <v>620.37135484199996</v>
      </c>
      <c r="E95" s="22">
        <v>391249.09620000003</v>
      </c>
      <c r="F95" s="23">
        <v>13.275228350000001</v>
      </c>
      <c r="G95" s="24">
        <f t="shared" si="4"/>
        <v>-9.5769787833838714E-11</v>
      </c>
      <c r="H95" s="25">
        <f t="shared" si="6"/>
        <v>1</v>
      </c>
      <c r="I95" s="26">
        <v>459423.58240000001</v>
      </c>
      <c r="J95" s="27">
        <v>7.1268972999999999E-2</v>
      </c>
      <c r="K95" s="28">
        <f t="shared" si="5"/>
        <v>0.1742482904577789</v>
      </c>
      <c r="L95" s="29">
        <f t="shared" si="7"/>
        <v>0</v>
      </c>
    </row>
    <row r="96" spans="2:12" x14ac:dyDescent="0.25">
      <c r="B96" s="43" t="s">
        <v>1058</v>
      </c>
      <c r="C96" s="30">
        <v>396792.70968066005</v>
      </c>
      <c r="D96" s="31">
        <v>417.344650548</v>
      </c>
      <c r="E96" s="22">
        <v>396792.70970000001</v>
      </c>
      <c r="F96" s="23">
        <v>14.06623263</v>
      </c>
      <c r="G96" s="24">
        <f t="shared" si="4"/>
        <v>4.8740716570502802E-11</v>
      </c>
      <c r="H96" s="25">
        <f t="shared" si="6"/>
        <v>1</v>
      </c>
      <c r="I96" s="26">
        <v>514813.9645</v>
      </c>
      <c r="J96" s="27">
        <v>6.0451148000000003E-2</v>
      </c>
      <c r="K96" s="28">
        <f t="shared" si="5"/>
        <v>0.29743806259526245</v>
      </c>
      <c r="L96" s="29">
        <f t="shared" si="7"/>
        <v>0</v>
      </c>
    </row>
    <row r="97" spans="2:12" x14ac:dyDescent="0.25">
      <c r="B97" s="43" t="s">
        <v>1059</v>
      </c>
      <c r="C97" s="30">
        <v>400033.91396230017</v>
      </c>
      <c r="D97" s="31">
        <v>451.65084550500001</v>
      </c>
      <c r="E97" s="22">
        <v>400033.91399999999</v>
      </c>
      <c r="F97" s="23">
        <v>17.199168168</v>
      </c>
      <c r="G97" s="24">
        <f t="shared" si="4"/>
        <v>9.4241563250723878E-11</v>
      </c>
      <c r="H97" s="25">
        <f t="shared" si="6"/>
        <v>1</v>
      </c>
      <c r="I97" s="26">
        <v>542939.75</v>
      </c>
      <c r="J97" s="27">
        <v>6.5155809999999995E-2</v>
      </c>
      <c r="K97" s="28">
        <f t="shared" si="5"/>
        <v>0.35723430201762219</v>
      </c>
      <c r="L97" s="29">
        <f t="shared" si="7"/>
        <v>0</v>
      </c>
    </row>
    <row r="98" spans="2:12" x14ac:dyDescent="0.25">
      <c r="B98" s="43" t="s">
        <v>1060</v>
      </c>
      <c r="C98" s="30">
        <v>343907.88237920485</v>
      </c>
      <c r="D98" s="31">
        <v>736.71088812899995</v>
      </c>
      <c r="E98" s="22">
        <v>343907.8824</v>
      </c>
      <c r="F98" s="23">
        <v>24.509427716000001</v>
      </c>
      <c r="G98" s="24">
        <f t="shared" si="4"/>
        <v>6.0467216915063545E-11</v>
      </c>
      <c r="H98" s="25">
        <f t="shared" si="6"/>
        <v>1</v>
      </c>
      <c r="I98" s="26">
        <v>458463.51089999999</v>
      </c>
      <c r="J98" s="27">
        <v>8.7359067999999998E-2</v>
      </c>
      <c r="K98" s="28">
        <f t="shared" si="5"/>
        <v>0.33309974673532522</v>
      </c>
      <c r="L98" s="29">
        <f t="shared" si="7"/>
        <v>0</v>
      </c>
    </row>
    <row r="99" spans="2:12" x14ac:dyDescent="0.25">
      <c r="B99" s="43" t="s">
        <v>1061</v>
      </c>
      <c r="C99" s="30">
        <v>366750.52310128522</v>
      </c>
      <c r="D99" s="31">
        <v>489.33067057800002</v>
      </c>
      <c r="E99" s="22">
        <v>366750.52310128522</v>
      </c>
      <c r="F99" s="23">
        <v>19.396818543999998</v>
      </c>
      <c r="G99" s="24">
        <f t="shared" si="4"/>
        <v>0</v>
      </c>
      <c r="H99" s="25">
        <f t="shared" si="6"/>
        <v>1</v>
      </c>
      <c r="I99" s="26">
        <v>478442.42489999998</v>
      </c>
      <c r="J99" s="27">
        <v>8.9344415999999996E-2</v>
      </c>
      <c r="K99" s="28">
        <f t="shared" si="5"/>
        <v>0.30454462846906122</v>
      </c>
      <c r="L99" s="29">
        <f t="shared" si="7"/>
        <v>0</v>
      </c>
    </row>
    <row r="100" spans="2:12" ht="15.75" thickBot="1" x14ac:dyDescent="0.3">
      <c r="B100" s="44" t="s">
        <v>1062</v>
      </c>
      <c r="C100" s="30">
        <v>374775.44154496997</v>
      </c>
      <c r="D100" s="31">
        <v>394.01975076799999</v>
      </c>
      <c r="E100" s="22">
        <v>374775.44150000002</v>
      </c>
      <c r="F100" s="23">
        <v>20.221940804999999</v>
      </c>
      <c r="G100" s="24">
        <f t="shared" si="4"/>
        <v>-1.1999174243600698E-10</v>
      </c>
      <c r="H100" s="25">
        <f t="shared" si="6"/>
        <v>1</v>
      </c>
      <c r="I100" s="26">
        <v>483736.15509999997</v>
      </c>
      <c r="J100" s="27">
        <v>0.10136426</v>
      </c>
      <c r="K100" s="28">
        <f t="shared" si="5"/>
        <v>0.29073600208661382</v>
      </c>
      <c r="L100" s="29">
        <f t="shared" si="7"/>
        <v>0</v>
      </c>
    </row>
    <row r="101" spans="2:12" ht="15.75" thickBot="1" x14ac:dyDescent="0.3">
      <c r="B101" t="s">
        <v>1063</v>
      </c>
      <c r="C101" s="33">
        <f>AVERAGE(C56:C100)</f>
        <v>379204.78212160169</v>
      </c>
      <c r="D101" s="34">
        <f>AVERAGE(D56:D100)</f>
        <v>492.50114373106652</v>
      </c>
      <c r="E101" s="35">
        <f>AVERAGE(E56:E100)</f>
        <v>379222.09333558421</v>
      </c>
      <c r="F101" s="35">
        <f>AVERAGE(F56:F100)</f>
        <v>24.018289017244449</v>
      </c>
      <c r="G101" s="53">
        <f>AVERAGE(G56:G100)</f>
        <v>7.2086675737389073E-5</v>
      </c>
      <c r="H101" s="37">
        <f>SUM(H56:H100)</f>
        <v>44</v>
      </c>
      <c r="I101" s="38">
        <f>AVERAGE(I56:I100)</f>
        <v>502088.25371111103</v>
      </c>
      <c r="J101" s="38">
        <f>AVERAGE(J56:J100)</f>
        <v>8.1607711511111097E-2</v>
      </c>
      <c r="K101" s="54">
        <f>AVERAGE(K56:K100)</f>
        <v>0.35626954571934782</v>
      </c>
      <c r="L101" s="40">
        <f>SUM(L56:L100)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826B-854F-4975-B049-3F62FF516D0D}">
  <dimension ref="B2:P102"/>
  <sheetViews>
    <sheetView topLeftCell="C36" workbookViewId="0">
      <selection activeCell="H55" sqref="H55"/>
    </sheetView>
  </sheetViews>
  <sheetFormatPr baseColWidth="10" defaultRowHeight="15" x14ac:dyDescent="0.25"/>
  <cols>
    <col min="2" max="2" width="38.28515625" bestFit="1" customWidth="1"/>
  </cols>
  <sheetData>
    <row r="2" spans="2:15" ht="15.75" thickBot="1" x14ac:dyDescent="0.3"/>
    <row r="3" spans="2:15" x14ac:dyDescent="0.25">
      <c r="B3" s="1"/>
      <c r="C3" s="2" t="s">
        <v>1109</v>
      </c>
      <c r="D3" s="4" t="s">
        <v>126</v>
      </c>
      <c r="E3" s="5"/>
      <c r="F3" s="5"/>
      <c r="G3" s="6"/>
      <c r="H3" s="7" t="s">
        <v>125</v>
      </c>
      <c r="I3" s="8"/>
      <c r="J3" s="8"/>
      <c r="K3" s="9"/>
      <c r="L3" s="7" t="s">
        <v>972</v>
      </c>
      <c r="M3" s="8"/>
      <c r="N3" s="8"/>
      <c r="O3" s="9"/>
    </row>
    <row r="4" spans="2:15" ht="15.75" thickBot="1" x14ac:dyDescent="0.3">
      <c r="B4" s="10"/>
      <c r="C4" s="41" t="s">
        <v>1</v>
      </c>
      <c r="D4" s="13" t="s">
        <v>1</v>
      </c>
      <c r="E4" s="14" t="s">
        <v>2</v>
      </c>
      <c r="F4" s="14" t="s">
        <v>3</v>
      </c>
      <c r="G4" s="15" t="s">
        <v>4</v>
      </c>
      <c r="H4" s="16" t="s">
        <v>1</v>
      </c>
      <c r="I4" s="17" t="s">
        <v>2</v>
      </c>
      <c r="J4" s="17" t="s">
        <v>3</v>
      </c>
      <c r="K4" s="18" t="s">
        <v>4</v>
      </c>
      <c r="L4" s="16" t="s">
        <v>1</v>
      </c>
      <c r="M4" s="17" t="s">
        <v>2</v>
      </c>
      <c r="N4" s="17" t="s">
        <v>3</v>
      </c>
      <c r="O4" s="18" t="s">
        <v>4</v>
      </c>
    </row>
    <row r="5" spans="2:15" x14ac:dyDescent="0.25">
      <c r="B5" s="52" t="s">
        <v>1064</v>
      </c>
      <c r="C5" s="30">
        <f>MIN(D5,H5)</f>
        <v>25393.799599999998</v>
      </c>
      <c r="D5" s="57">
        <v>25393.799599999998</v>
      </c>
      <c r="E5" s="23">
        <v>262.798264899</v>
      </c>
      <c r="F5" s="24">
        <f t="shared" ref="F5:F49" si="0">(D5-C5)/C5</f>
        <v>0</v>
      </c>
      <c r="G5" s="25">
        <f>IF(F5&lt;0.000001,1,0)</f>
        <v>1</v>
      </c>
      <c r="H5" s="26">
        <v>25393.799605975011</v>
      </c>
      <c r="I5" s="27">
        <v>2829.4153455229998</v>
      </c>
      <c r="J5" s="28">
        <f t="shared" ref="J5:J49" si="1">(H5-C5)/C5</f>
        <v>2.3529416034253585E-10</v>
      </c>
      <c r="K5" s="29">
        <f>IF(J5&lt;0.000001,1,0)</f>
        <v>1</v>
      </c>
      <c r="L5" s="26">
        <v>34965.065399999999</v>
      </c>
      <c r="M5" s="27">
        <v>1.0761270999999999</v>
      </c>
      <c r="N5" s="28">
        <f>(L5-C5)/C5</f>
        <v>0.37691349663167389</v>
      </c>
      <c r="O5" s="29">
        <v>0</v>
      </c>
    </row>
    <row r="6" spans="2:15" x14ac:dyDescent="0.25">
      <c r="B6" s="43" t="s">
        <v>1065</v>
      </c>
      <c r="C6" s="30">
        <f t="shared" ref="C6:C49" si="2">MIN(D6,H6)</f>
        <v>26891.378759235013</v>
      </c>
      <c r="D6" s="57">
        <v>26891.378799999999</v>
      </c>
      <c r="E6" s="23">
        <v>320.50540783399998</v>
      </c>
      <c r="F6" s="24">
        <f t="shared" si="0"/>
        <v>1.5159128232914856E-9</v>
      </c>
      <c r="G6" s="25">
        <f t="shared" ref="G6:G49" si="3">IF(F6&lt;0.000001,1,0)</f>
        <v>1</v>
      </c>
      <c r="H6" s="26">
        <v>26891.378759235013</v>
      </c>
      <c r="I6" s="27">
        <v>2154.6659882180002</v>
      </c>
      <c r="J6" s="28">
        <f t="shared" si="1"/>
        <v>0</v>
      </c>
      <c r="K6" s="29">
        <f t="shared" ref="K6:K49" si="4">IF(J6&lt;0.000001,1,0)</f>
        <v>1</v>
      </c>
      <c r="L6" s="26">
        <v>37220.108999999997</v>
      </c>
      <c r="M6" s="27">
        <v>0.83167000599999996</v>
      </c>
      <c r="N6" s="28">
        <f t="shared" ref="N6:N49" si="5">(L6-C6)/C6</f>
        <v>0.3840907650455781</v>
      </c>
      <c r="O6" s="29">
        <v>0</v>
      </c>
    </row>
    <row r="7" spans="2:15" x14ac:dyDescent="0.25">
      <c r="B7" s="43" t="s">
        <v>1066</v>
      </c>
      <c r="C7" s="30">
        <f t="shared" si="2"/>
        <v>28194.339599999999</v>
      </c>
      <c r="D7" s="57">
        <v>28194.339599999999</v>
      </c>
      <c r="E7" s="23">
        <v>368.79205182300001</v>
      </c>
      <c r="F7" s="24">
        <f t="shared" si="0"/>
        <v>0</v>
      </c>
      <c r="G7" s="25">
        <f t="shared" si="3"/>
        <v>1</v>
      </c>
      <c r="H7" s="26">
        <v>28194.339639885009</v>
      </c>
      <c r="I7" s="27">
        <v>2315.1040825539999</v>
      </c>
      <c r="J7" s="28">
        <f t="shared" si="1"/>
        <v>1.4146460006241982E-9</v>
      </c>
      <c r="K7" s="29">
        <f t="shared" si="4"/>
        <v>1</v>
      </c>
      <c r="L7" s="26">
        <v>41812.934600000001</v>
      </c>
      <c r="M7" s="27">
        <v>0.82034432499999999</v>
      </c>
      <c r="N7" s="28">
        <f t="shared" si="5"/>
        <v>0.48302585530323972</v>
      </c>
      <c r="O7" s="29">
        <v>0</v>
      </c>
    </row>
    <row r="8" spans="2:15" x14ac:dyDescent="0.25">
      <c r="B8" s="43" t="s">
        <v>1067</v>
      </c>
      <c r="C8" s="30">
        <f t="shared" si="2"/>
        <v>40375.963400000001</v>
      </c>
      <c r="D8" s="57">
        <v>40375.963400000001</v>
      </c>
      <c r="E8" s="23">
        <v>24.499418162000001</v>
      </c>
      <c r="F8" s="24">
        <f t="shared" si="0"/>
        <v>0</v>
      </c>
      <c r="G8" s="25">
        <f t="shared" si="3"/>
        <v>1</v>
      </c>
      <c r="H8" s="26">
        <v>40375.96342249</v>
      </c>
      <c r="I8" s="27">
        <v>470.56368750799999</v>
      </c>
      <c r="J8" s="28">
        <f t="shared" si="1"/>
        <v>5.5701456122669755E-10</v>
      </c>
      <c r="K8" s="29">
        <f t="shared" si="4"/>
        <v>1</v>
      </c>
      <c r="L8" s="26">
        <v>45079.983800000002</v>
      </c>
      <c r="M8" s="27">
        <v>0.27841356900000003</v>
      </c>
      <c r="N8" s="28">
        <f t="shared" si="5"/>
        <v>0.11650546522934488</v>
      </c>
      <c r="O8" s="29">
        <v>0</v>
      </c>
    </row>
    <row r="9" spans="2:15" x14ac:dyDescent="0.25">
      <c r="B9" s="43" t="s">
        <v>1068</v>
      </c>
      <c r="C9" s="30">
        <f t="shared" si="2"/>
        <v>45119.0605</v>
      </c>
      <c r="D9" s="57">
        <v>45119.0605</v>
      </c>
      <c r="E9" s="23">
        <v>25.524385948999999</v>
      </c>
      <c r="F9" s="24">
        <f t="shared" si="0"/>
        <v>0</v>
      </c>
      <c r="G9" s="25">
        <f t="shared" si="3"/>
        <v>1</v>
      </c>
      <c r="H9" s="26">
        <v>45119.060538354999</v>
      </c>
      <c r="I9" s="27">
        <v>771.85734317699996</v>
      </c>
      <c r="J9" s="28">
        <f t="shared" si="1"/>
        <v>8.5008418028556067E-10</v>
      </c>
      <c r="K9" s="29">
        <f t="shared" si="4"/>
        <v>1</v>
      </c>
      <c r="L9" s="26">
        <v>51584.474499999997</v>
      </c>
      <c r="M9" s="27">
        <v>0.19261255899999999</v>
      </c>
      <c r="N9" s="28">
        <f t="shared" si="5"/>
        <v>0.14329673376066857</v>
      </c>
      <c r="O9" s="29">
        <v>0</v>
      </c>
    </row>
    <row r="10" spans="2:15" x14ac:dyDescent="0.25">
      <c r="B10" s="43" t="s">
        <v>1069</v>
      </c>
      <c r="C10" s="30">
        <f t="shared" si="2"/>
        <v>47980.888256559971</v>
      </c>
      <c r="D10" s="57">
        <v>47980.888299999999</v>
      </c>
      <c r="E10" s="23">
        <v>28.733248595999999</v>
      </c>
      <c r="F10" s="24">
        <f t="shared" si="0"/>
        <v>9.0536106504481194E-10</v>
      </c>
      <c r="G10" s="25">
        <f t="shared" si="3"/>
        <v>1</v>
      </c>
      <c r="H10" s="26">
        <v>47980.888256559971</v>
      </c>
      <c r="I10" s="27">
        <v>3600.037229264</v>
      </c>
      <c r="J10" s="28">
        <f t="shared" si="1"/>
        <v>0</v>
      </c>
      <c r="K10" s="29">
        <f t="shared" si="4"/>
        <v>1</v>
      </c>
      <c r="L10" s="26">
        <v>57456.152699999999</v>
      </c>
      <c r="M10" s="27">
        <v>0.32894687700000003</v>
      </c>
      <c r="N10" s="28">
        <f t="shared" si="5"/>
        <v>0.19747997145810584</v>
      </c>
      <c r="O10" s="29">
        <v>0</v>
      </c>
    </row>
    <row r="11" spans="2:15" x14ac:dyDescent="0.25">
      <c r="B11" s="43" t="s">
        <v>1070</v>
      </c>
      <c r="C11" s="30">
        <f t="shared" si="2"/>
        <v>36889.949399999998</v>
      </c>
      <c r="D11" s="57">
        <v>36889.949399999998</v>
      </c>
      <c r="E11" s="23">
        <v>44.881423046999998</v>
      </c>
      <c r="F11" s="24">
        <f t="shared" si="0"/>
        <v>0</v>
      </c>
      <c r="G11" s="25">
        <f t="shared" si="3"/>
        <v>1</v>
      </c>
      <c r="H11" s="26">
        <v>36889.949437215015</v>
      </c>
      <c r="I11" s="27">
        <v>1770.793109231</v>
      </c>
      <c r="J11" s="28">
        <f t="shared" si="1"/>
        <v>1.0088118221523527E-9</v>
      </c>
      <c r="K11" s="29">
        <f t="shared" si="4"/>
        <v>1</v>
      </c>
      <c r="L11" s="26">
        <v>43361.989600000001</v>
      </c>
      <c r="M11" s="27">
        <v>0.35973995600000003</v>
      </c>
      <c r="N11" s="28">
        <f t="shared" si="5"/>
        <v>0.17544182915035397</v>
      </c>
      <c r="O11" s="29">
        <v>0</v>
      </c>
    </row>
    <row r="12" spans="2:15" x14ac:dyDescent="0.25">
      <c r="B12" s="43" t="s">
        <v>1071</v>
      </c>
      <c r="C12" s="30">
        <f t="shared" si="2"/>
        <v>40095.134599999998</v>
      </c>
      <c r="D12" s="57">
        <v>40095.134599999998</v>
      </c>
      <c r="E12" s="23">
        <v>44.883102051999998</v>
      </c>
      <c r="F12" s="24">
        <f t="shared" si="0"/>
        <v>0</v>
      </c>
      <c r="G12" s="25">
        <f t="shared" si="3"/>
        <v>1</v>
      </c>
      <c r="H12" s="26">
        <v>40095.134614984978</v>
      </c>
      <c r="I12" s="27">
        <v>2237.5751850930001</v>
      </c>
      <c r="J12" s="28">
        <f t="shared" si="1"/>
        <v>3.7373562590716556E-10</v>
      </c>
      <c r="K12" s="29">
        <f t="shared" si="4"/>
        <v>1</v>
      </c>
      <c r="L12" s="26">
        <v>46658.470200000003</v>
      </c>
      <c r="M12" s="27">
        <v>0.305010797</v>
      </c>
      <c r="N12" s="28">
        <f t="shared" si="5"/>
        <v>0.16369406576328108</v>
      </c>
      <c r="O12" s="29">
        <v>0</v>
      </c>
    </row>
    <row r="13" spans="2:15" x14ac:dyDescent="0.25">
      <c r="B13" s="43" t="s">
        <v>1072</v>
      </c>
      <c r="C13" s="30">
        <f t="shared" si="2"/>
        <v>42542.863289629997</v>
      </c>
      <c r="D13" s="57">
        <v>42542.863299999997</v>
      </c>
      <c r="E13" s="23">
        <v>55.768627907000003</v>
      </c>
      <c r="F13" s="24">
        <f t="shared" si="0"/>
        <v>2.4375417120741251E-10</v>
      </c>
      <c r="G13" s="25">
        <f t="shared" si="3"/>
        <v>1</v>
      </c>
      <c r="H13" s="26">
        <v>42542.863289629997</v>
      </c>
      <c r="I13" s="27">
        <v>3600</v>
      </c>
      <c r="J13" s="28">
        <f t="shared" si="1"/>
        <v>0</v>
      </c>
      <c r="K13" s="29">
        <f t="shared" si="4"/>
        <v>1</v>
      </c>
      <c r="L13" s="26">
        <v>50666.415200000003</v>
      </c>
      <c r="M13" s="27">
        <v>0.26257320299999998</v>
      </c>
      <c r="N13" s="28">
        <f t="shared" si="5"/>
        <v>0.19094981583785772</v>
      </c>
      <c r="O13" s="29">
        <v>0</v>
      </c>
    </row>
    <row r="14" spans="2:15" x14ac:dyDescent="0.25">
      <c r="B14" s="43" t="s">
        <v>1073</v>
      </c>
      <c r="C14" s="30">
        <f t="shared" si="2"/>
        <v>34227.05078753001</v>
      </c>
      <c r="D14" s="57">
        <v>34227.050799999997</v>
      </c>
      <c r="E14" s="23">
        <v>75.085521807000006</v>
      </c>
      <c r="F14" s="24">
        <f t="shared" si="0"/>
        <v>3.6433133973385877E-10</v>
      </c>
      <c r="G14" s="25">
        <f t="shared" si="3"/>
        <v>1</v>
      </c>
      <c r="H14" s="26">
        <v>34227.05078753001</v>
      </c>
      <c r="I14" s="27">
        <v>3600</v>
      </c>
      <c r="J14" s="28">
        <f t="shared" si="1"/>
        <v>0</v>
      </c>
      <c r="K14" s="29">
        <f t="shared" si="4"/>
        <v>1</v>
      </c>
      <c r="L14" s="26">
        <v>42842.437899999997</v>
      </c>
      <c r="M14" s="27">
        <v>0.51059996500000004</v>
      </c>
      <c r="N14" s="28">
        <f t="shared" si="5"/>
        <v>0.25171280943693936</v>
      </c>
      <c r="O14" s="29">
        <v>0</v>
      </c>
    </row>
    <row r="15" spans="2:15" x14ac:dyDescent="0.25">
      <c r="B15" s="43" t="s">
        <v>1074</v>
      </c>
      <c r="C15" s="30">
        <f t="shared" si="2"/>
        <v>36665.585099999997</v>
      </c>
      <c r="D15" s="57">
        <v>36665.585099999997</v>
      </c>
      <c r="E15" s="23">
        <v>81.052095137999999</v>
      </c>
      <c r="F15" s="24">
        <f t="shared" si="0"/>
        <v>0</v>
      </c>
      <c r="G15" s="25">
        <f t="shared" si="3"/>
        <v>1</v>
      </c>
      <c r="H15" s="26">
        <v>36665.585130279993</v>
      </c>
      <c r="I15" s="27">
        <v>794.61318440000002</v>
      </c>
      <c r="J15" s="28">
        <f t="shared" si="1"/>
        <v>8.2584244049126249E-10</v>
      </c>
      <c r="K15" s="29">
        <f t="shared" si="4"/>
        <v>1</v>
      </c>
      <c r="L15" s="26">
        <v>44610.048799999997</v>
      </c>
      <c r="M15" s="27">
        <v>0.43343557100000002</v>
      </c>
      <c r="N15" s="28">
        <f t="shared" si="5"/>
        <v>0.21667358309795529</v>
      </c>
      <c r="O15" s="29">
        <v>0</v>
      </c>
    </row>
    <row r="16" spans="2:15" x14ac:dyDescent="0.25">
      <c r="B16" s="43" t="s">
        <v>1075</v>
      </c>
      <c r="C16" s="30">
        <f t="shared" si="2"/>
        <v>39230.400082879991</v>
      </c>
      <c r="D16" s="57">
        <v>39230.400099999999</v>
      </c>
      <c r="E16" s="23">
        <v>85.056071404999997</v>
      </c>
      <c r="F16" s="24">
        <f t="shared" si="0"/>
        <v>4.3639647028503512E-10</v>
      </c>
      <c r="G16" s="25">
        <f t="shared" si="3"/>
        <v>1</v>
      </c>
      <c r="H16" s="26">
        <v>39230.400082879991</v>
      </c>
      <c r="I16" s="27">
        <v>3361.2722369439998</v>
      </c>
      <c r="J16" s="28">
        <f t="shared" si="1"/>
        <v>0</v>
      </c>
      <c r="K16" s="29">
        <f t="shared" si="4"/>
        <v>1</v>
      </c>
      <c r="L16" s="26">
        <v>48165.6322</v>
      </c>
      <c r="M16" s="27">
        <v>0.36657883699999999</v>
      </c>
      <c r="N16" s="28">
        <f t="shared" si="5"/>
        <v>0.22776296184191386</v>
      </c>
      <c r="O16" s="29">
        <v>0</v>
      </c>
    </row>
    <row r="17" spans="2:15" x14ac:dyDescent="0.25">
      <c r="B17" s="43" t="s">
        <v>1076</v>
      </c>
      <c r="C17" s="30">
        <f t="shared" si="2"/>
        <v>31939.4846</v>
      </c>
      <c r="D17" s="57">
        <v>31939.4846</v>
      </c>
      <c r="E17" s="23">
        <v>110.19571488</v>
      </c>
      <c r="F17" s="24">
        <f t="shared" si="0"/>
        <v>0</v>
      </c>
      <c r="G17" s="25">
        <f t="shared" si="3"/>
        <v>1</v>
      </c>
      <c r="H17" s="26">
        <v>31939.484626990012</v>
      </c>
      <c r="I17" s="27">
        <v>3600</v>
      </c>
      <c r="J17" s="28">
        <f t="shared" si="1"/>
        <v>8.4503592693238144E-10</v>
      </c>
      <c r="K17" s="29">
        <f t="shared" si="4"/>
        <v>1</v>
      </c>
      <c r="L17" s="26">
        <v>41891.186199999996</v>
      </c>
      <c r="M17" s="27">
        <v>0.44122670899999999</v>
      </c>
      <c r="N17" s="28">
        <f t="shared" si="5"/>
        <v>0.3115799057070569</v>
      </c>
      <c r="O17" s="29">
        <v>0</v>
      </c>
    </row>
    <row r="18" spans="2:15" x14ac:dyDescent="0.25">
      <c r="B18" s="43" t="s">
        <v>1077</v>
      </c>
      <c r="C18" s="30">
        <f t="shared" si="2"/>
        <v>34545.883300000001</v>
      </c>
      <c r="D18" s="57">
        <v>34545.883300000001</v>
      </c>
      <c r="E18" s="23">
        <v>102.31918176000001</v>
      </c>
      <c r="F18" s="24">
        <f t="shared" si="0"/>
        <v>0</v>
      </c>
      <c r="G18" s="25">
        <f t="shared" si="3"/>
        <v>1</v>
      </c>
      <c r="H18" s="26">
        <v>34545.883336619998</v>
      </c>
      <c r="I18" s="27">
        <v>2134.598300831</v>
      </c>
      <c r="J18" s="28">
        <f t="shared" si="1"/>
        <v>1.0600393748100163E-9</v>
      </c>
      <c r="K18" s="29">
        <f t="shared" si="4"/>
        <v>1</v>
      </c>
      <c r="L18" s="26">
        <v>44606.448700000001</v>
      </c>
      <c r="M18" s="27">
        <v>0.42626390199999997</v>
      </c>
      <c r="N18" s="28">
        <f t="shared" si="5"/>
        <v>0.29122327869381759</v>
      </c>
      <c r="O18" s="29">
        <v>0</v>
      </c>
    </row>
    <row r="19" spans="2:15" x14ac:dyDescent="0.25">
      <c r="B19" s="43" t="s">
        <v>1078</v>
      </c>
      <c r="C19" s="30">
        <f t="shared" si="2"/>
        <v>36673.673900000002</v>
      </c>
      <c r="D19" s="57">
        <v>36673.673900000002</v>
      </c>
      <c r="E19" s="23">
        <v>137.09889133600001</v>
      </c>
      <c r="F19" s="24">
        <f t="shared" si="0"/>
        <v>0</v>
      </c>
      <c r="G19" s="25">
        <f t="shared" si="3"/>
        <v>1</v>
      </c>
      <c r="H19" s="26">
        <v>36673.673945759998</v>
      </c>
      <c r="I19" s="27">
        <v>2374.6123869580001</v>
      </c>
      <c r="J19" s="28">
        <f t="shared" si="1"/>
        <v>1.2477614434715276E-9</v>
      </c>
      <c r="K19" s="29">
        <f t="shared" si="4"/>
        <v>1</v>
      </c>
      <c r="L19" s="26">
        <v>46477.657599999999</v>
      </c>
      <c r="M19" s="27">
        <v>0.405864526</v>
      </c>
      <c r="N19" s="28">
        <f t="shared" si="5"/>
        <v>0.26733028511768481</v>
      </c>
      <c r="O19" s="29">
        <v>0</v>
      </c>
    </row>
    <row r="20" spans="2:15" x14ac:dyDescent="0.25">
      <c r="B20" s="43" t="s">
        <v>1079</v>
      </c>
      <c r="C20" s="30">
        <f t="shared" si="2"/>
        <v>22760.917198669995</v>
      </c>
      <c r="D20" s="57">
        <v>22760.9172</v>
      </c>
      <c r="E20" s="23">
        <v>398.862847483</v>
      </c>
      <c r="F20" s="24">
        <f t="shared" si="0"/>
        <v>5.8433718751174462E-11</v>
      </c>
      <c r="G20" s="25">
        <f t="shared" si="3"/>
        <v>1</v>
      </c>
      <c r="H20" s="26">
        <v>22760.917198669995</v>
      </c>
      <c r="I20" s="27">
        <v>2335.240783662</v>
      </c>
      <c r="J20" s="28">
        <f t="shared" si="1"/>
        <v>0</v>
      </c>
      <c r="K20" s="29">
        <f t="shared" si="4"/>
        <v>1</v>
      </c>
      <c r="L20" s="26">
        <v>28625.725699999999</v>
      </c>
      <c r="M20" s="27">
        <v>0.83211600900000005</v>
      </c>
      <c r="N20" s="28">
        <f t="shared" si="5"/>
        <v>0.2576701303439875</v>
      </c>
      <c r="O20" s="29">
        <v>0</v>
      </c>
    </row>
    <row r="21" spans="2:15" x14ac:dyDescent="0.25">
      <c r="B21" s="43" t="s">
        <v>1080</v>
      </c>
      <c r="C21" s="30">
        <f t="shared" si="2"/>
        <v>20658.456699999999</v>
      </c>
      <c r="D21" s="57">
        <v>20658.456699999999</v>
      </c>
      <c r="E21" s="23">
        <v>349.61725300400002</v>
      </c>
      <c r="F21" s="24">
        <f t="shared" si="0"/>
        <v>0</v>
      </c>
      <c r="G21" s="25">
        <f t="shared" si="3"/>
        <v>1</v>
      </c>
      <c r="H21" s="26">
        <v>20658.456707784997</v>
      </c>
      <c r="I21" s="27">
        <v>2353.6942489130001</v>
      </c>
      <c r="J21" s="28">
        <f t="shared" si="1"/>
        <v>3.7684316277057263E-10</v>
      </c>
      <c r="K21" s="29">
        <f t="shared" si="4"/>
        <v>1</v>
      </c>
      <c r="L21" s="26">
        <v>27111.773399999998</v>
      </c>
      <c r="M21" s="27">
        <v>0.91366776699999996</v>
      </c>
      <c r="N21" s="28">
        <f t="shared" si="5"/>
        <v>0.31238135518613064</v>
      </c>
      <c r="O21" s="29">
        <v>0</v>
      </c>
    </row>
    <row r="22" spans="2:15" x14ac:dyDescent="0.25">
      <c r="B22" s="43" t="s">
        <v>1081</v>
      </c>
      <c r="C22" s="30">
        <f t="shared" si="2"/>
        <v>20677.318485264994</v>
      </c>
      <c r="D22" s="57">
        <v>20677.318500000001</v>
      </c>
      <c r="E22" s="23">
        <v>355.14362208199998</v>
      </c>
      <c r="F22" s="24">
        <f t="shared" si="0"/>
        <v>7.1261693997075005E-10</v>
      </c>
      <c r="G22" s="25">
        <f t="shared" si="3"/>
        <v>1</v>
      </c>
      <c r="H22" s="26">
        <v>20677.318485264994</v>
      </c>
      <c r="I22" s="27">
        <v>2898.6166688150001</v>
      </c>
      <c r="J22" s="28">
        <f t="shared" si="1"/>
        <v>0</v>
      </c>
      <c r="K22" s="29">
        <f t="shared" si="4"/>
        <v>1</v>
      </c>
      <c r="L22" s="26">
        <v>26411.507600000001</v>
      </c>
      <c r="M22" s="27">
        <v>0.83476076399999999</v>
      </c>
      <c r="N22" s="28">
        <f t="shared" si="5"/>
        <v>0.27731783107279057</v>
      </c>
      <c r="O22" s="29">
        <v>0</v>
      </c>
    </row>
    <row r="23" spans="2:15" x14ac:dyDescent="0.25">
      <c r="B23" s="43" t="s">
        <v>1082</v>
      </c>
      <c r="C23" s="30">
        <f t="shared" si="2"/>
        <v>37303.651299999998</v>
      </c>
      <c r="D23" s="57">
        <v>37303.651299999998</v>
      </c>
      <c r="E23" s="23">
        <v>26.044951393000002</v>
      </c>
      <c r="F23" s="24">
        <f t="shared" si="0"/>
        <v>0</v>
      </c>
      <c r="G23" s="25">
        <f t="shared" si="3"/>
        <v>1</v>
      </c>
      <c r="H23" s="26">
        <v>37985.268700000001</v>
      </c>
      <c r="I23" s="27">
        <v>3600</v>
      </c>
      <c r="J23" s="28">
        <f t="shared" si="1"/>
        <v>1.8272136272086664E-2</v>
      </c>
      <c r="K23" s="29">
        <f t="shared" si="4"/>
        <v>0</v>
      </c>
      <c r="L23" s="26">
        <v>41540.842400000001</v>
      </c>
      <c r="M23" s="27">
        <v>0.19818882199999999</v>
      </c>
      <c r="N23" s="28">
        <f t="shared" si="5"/>
        <v>0.11358649763059532</v>
      </c>
      <c r="O23" s="29">
        <v>0</v>
      </c>
    </row>
    <row r="24" spans="2:15" x14ac:dyDescent="0.25">
      <c r="B24" s="43" t="s">
        <v>1083</v>
      </c>
      <c r="C24" s="30">
        <f t="shared" si="2"/>
        <v>36111.243900000001</v>
      </c>
      <c r="D24" s="57">
        <v>36111.243900000001</v>
      </c>
      <c r="E24" s="23">
        <v>37.761958139000001</v>
      </c>
      <c r="F24" s="24">
        <f t="shared" si="0"/>
        <v>0</v>
      </c>
      <c r="G24" s="25">
        <f t="shared" si="3"/>
        <v>1</v>
      </c>
      <c r="H24" s="26">
        <v>37023.7091</v>
      </c>
      <c r="I24" s="27">
        <v>3600</v>
      </c>
      <c r="J24" s="28">
        <f t="shared" si="1"/>
        <v>2.5268174160015536E-2</v>
      </c>
      <c r="K24" s="29">
        <f t="shared" si="4"/>
        <v>0</v>
      </c>
      <c r="L24" s="26">
        <v>43504.754699999998</v>
      </c>
      <c r="M24" s="27">
        <v>0.214843443</v>
      </c>
      <c r="N24" s="28">
        <f t="shared" si="5"/>
        <v>0.20474262311412642</v>
      </c>
      <c r="O24" s="29">
        <v>0</v>
      </c>
    </row>
    <row r="25" spans="2:15" x14ac:dyDescent="0.25">
      <c r="B25" s="43" t="s">
        <v>1084</v>
      </c>
      <c r="C25" s="30">
        <f t="shared" si="2"/>
        <v>33891.015700000004</v>
      </c>
      <c r="D25" s="57">
        <v>33891.015700000004</v>
      </c>
      <c r="E25" s="23">
        <v>28.261356607</v>
      </c>
      <c r="F25" s="24">
        <f t="shared" si="0"/>
        <v>0</v>
      </c>
      <c r="G25" s="25">
        <f t="shared" si="3"/>
        <v>1</v>
      </c>
      <c r="H25" s="26">
        <v>33891.015700000004</v>
      </c>
      <c r="I25" s="27">
        <v>3600</v>
      </c>
      <c r="J25" s="28">
        <f t="shared" si="1"/>
        <v>0</v>
      </c>
      <c r="K25" s="29">
        <f t="shared" si="4"/>
        <v>1</v>
      </c>
      <c r="L25" s="26">
        <v>40667.593500000003</v>
      </c>
      <c r="M25" s="27">
        <v>0.217478803</v>
      </c>
      <c r="N25" s="28">
        <f t="shared" si="5"/>
        <v>0.19995204215729653</v>
      </c>
      <c r="O25" s="29">
        <v>0</v>
      </c>
    </row>
    <row r="26" spans="2:15" x14ac:dyDescent="0.25">
      <c r="B26" s="43" t="s">
        <v>1085</v>
      </c>
      <c r="C26" s="30">
        <f t="shared" si="2"/>
        <v>34051.621899999998</v>
      </c>
      <c r="D26" s="57">
        <v>34051.621899999998</v>
      </c>
      <c r="E26" s="23">
        <v>50.400123895</v>
      </c>
      <c r="F26" s="24">
        <f t="shared" si="0"/>
        <v>0</v>
      </c>
      <c r="G26" s="25">
        <f t="shared" si="3"/>
        <v>1</v>
      </c>
      <c r="H26" s="26">
        <v>34051.621910899994</v>
      </c>
      <c r="I26" s="27">
        <v>3347.199041455</v>
      </c>
      <c r="J26" s="28">
        <f t="shared" si="1"/>
        <v>3.2010210023171801E-10</v>
      </c>
      <c r="K26" s="29">
        <f t="shared" si="4"/>
        <v>1</v>
      </c>
      <c r="L26" s="26">
        <v>39945.858699999997</v>
      </c>
      <c r="M26" s="27">
        <v>0.37489289799999997</v>
      </c>
      <c r="N26" s="28">
        <f t="shared" si="5"/>
        <v>0.17309709409172075</v>
      </c>
      <c r="O26" s="29">
        <v>0</v>
      </c>
    </row>
    <row r="27" spans="2:15" x14ac:dyDescent="0.25">
      <c r="B27" s="43" t="s">
        <v>1086</v>
      </c>
      <c r="C27" s="30">
        <f t="shared" si="2"/>
        <v>31685.650600000001</v>
      </c>
      <c r="D27" s="57">
        <v>31685.650600000001</v>
      </c>
      <c r="E27" s="23">
        <v>51.477937906999998</v>
      </c>
      <c r="F27" s="24">
        <f t="shared" si="0"/>
        <v>0</v>
      </c>
      <c r="G27" s="25">
        <f t="shared" si="3"/>
        <v>1</v>
      </c>
      <c r="H27" s="26">
        <v>31685.650607970008</v>
      </c>
      <c r="I27" s="27">
        <v>3600</v>
      </c>
      <c r="J27" s="28">
        <f t="shared" si="1"/>
        <v>2.5153365710033979E-10</v>
      </c>
      <c r="K27" s="29">
        <f t="shared" si="4"/>
        <v>1</v>
      </c>
      <c r="L27" s="26">
        <v>38539.691599999998</v>
      </c>
      <c r="M27" s="27">
        <v>0.36697682199999998</v>
      </c>
      <c r="N27" s="28">
        <f t="shared" si="5"/>
        <v>0.21631372151784053</v>
      </c>
      <c r="O27" s="29">
        <v>0</v>
      </c>
    </row>
    <row r="28" spans="2:15" x14ac:dyDescent="0.25">
      <c r="B28" s="43" t="s">
        <v>1087</v>
      </c>
      <c r="C28" s="30">
        <f t="shared" si="2"/>
        <v>30381.293897654967</v>
      </c>
      <c r="D28" s="57">
        <v>30381.293900000001</v>
      </c>
      <c r="E28" s="23">
        <v>56.854377290000002</v>
      </c>
      <c r="F28" s="24">
        <f t="shared" si="0"/>
        <v>7.7186767324439386E-11</v>
      </c>
      <c r="G28" s="25">
        <f t="shared" si="3"/>
        <v>1</v>
      </c>
      <c r="H28" s="26">
        <v>30381.293897654967</v>
      </c>
      <c r="I28" s="27">
        <v>3600</v>
      </c>
      <c r="J28" s="28">
        <f t="shared" si="1"/>
        <v>0</v>
      </c>
      <c r="K28" s="29">
        <f t="shared" si="4"/>
        <v>1</v>
      </c>
      <c r="L28" s="26">
        <v>34263.988299999997</v>
      </c>
      <c r="M28" s="27">
        <v>0.37201925299999999</v>
      </c>
      <c r="N28" s="28">
        <f t="shared" si="5"/>
        <v>0.12779884936515898</v>
      </c>
      <c r="O28" s="29">
        <v>0</v>
      </c>
    </row>
    <row r="29" spans="2:15" x14ac:dyDescent="0.25">
      <c r="B29" s="43" t="s">
        <v>1088</v>
      </c>
      <c r="C29" s="30">
        <f t="shared" si="2"/>
        <v>31200.919798104987</v>
      </c>
      <c r="D29" s="57">
        <v>31200.9198</v>
      </c>
      <c r="E29" s="23">
        <v>75.399915379999996</v>
      </c>
      <c r="F29" s="24">
        <f t="shared" si="0"/>
        <v>6.0735781475030325E-11</v>
      </c>
      <c r="G29" s="25">
        <f t="shared" si="3"/>
        <v>1</v>
      </c>
      <c r="H29" s="26">
        <v>31200.919798104987</v>
      </c>
      <c r="I29" s="27">
        <v>3600</v>
      </c>
      <c r="J29" s="28">
        <f t="shared" si="1"/>
        <v>0</v>
      </c>
      <c r="K29" s="29">
        <f t="shared" si="4"/>
        <v>1</v>
      </c>
      <c r="L29" s="26">
        <v>38638.466500000002</v>
      </c>
      <c r="M29" s="27">
        <v>0.392219127</v>
      </c>
      <c r="N29" s="28">
        <f t="shared" si="5"/>
        <v>0.23837587962220075</v>
      </c>
      <c r="O29" s="29">
        <v>0</v>
      </c>
    </row>
    <row r="30" spans="2:15" x14ac:dyDescent="0.25">
      <c r="B30" s="43" t="s">
        <v>1089</v>
      </c>
      <c r="C30" s="30">
        <f t="shared" si="2"/>
        <v>28921.602599999998</v>
      </c>
      <c r="D30" s="57">
        <v>28921.602599999998</v>
      </c>
      <c r="E30" s="23">
        <v>99.015640958000006</v>
      </c>
      <c r="F30" s="24">
        <f t="shared" si="0"/>
        <v>0</v>
      </c>
      <c r="G30" s="25">
        <f t="shared" si="3"/>
        <v>1</v>
      </c>
      <c r="H30" s="26">
        <v>28921.602620385012</v>
      </c>
      <c r="I30" s="27">
        <v>3582.4906038230001</v>
      </c>
      <c r="J30" s="28">
        <f t="shared" si="1"/>
        <v>7.0483694661753065E-10</v>
      </c>
      <c r="K30" s="29">
        <f t="shared" si="4"/>
        <v>1</v>
      </c>
      <c r="L30" s="26">
        <v>34439.843999999997</v>
      </c>
      <c r="M30" s="27">
        <v>0.44152627500000002</v>
      </c>
      <c r="N30" s="28">
        <f t="shared" si="5"/>
        <v>0.19079998699657119</v>
      </c>
      <c r="O30" s="29">
        <v>0</v>
      </c>
    </row>
    <row r="31" spans="2:15" x14ac:dyDescent="0.25">
      <c r="B31" s="43" t="s">
        <v>1090</v>
      </c>
      <c r="C31" s="30">
        <f t="shared" si="2"/>
        <v>27973.043759074983</v>
      </c>
      <c r="D31" s="57">
        <v>27973.043799999999</v>
      </c>
      <c r="E31" s="23">
        <v>82.008213397999995</v>
      </c>
      <c r="F31" s="24">
        <f t="shared" si="0"/>
        <v>1.4630162273128018E-9</v>
      </c>
      <c r="G31" s="25">
        <f t="shared" si="3"/>
        <v>1</v>
      </c>
      <c r="H31" s="26">
        <v>27973.043759074983</v>
      </c>
      <c r="I31" s="27">
        <v>3582.314457941</v>
      </c>
      <c r="J31" s="28">
        <f t="shared" si="1"/>
        <v>0</v>
      </c>
      <c r="K31" s="29">
        <f t="shared" si="4"/>
        <v>1</v>
      </c>
      <c r="L31" s="26">
        <v>32760.335999999999</v>
      </c>
      <c r="M31" s="27">
        <v>0.36826829500000002</v>
      </c>
      <c r="N31" s="28">
        <f t="shared" si="5"/>
        <v>0.1711394827876723</v>
      </c>
      <c r="O31" s="29">
        <v>0</v>
      </c>
    </row>
    <row r="32" spans="2:15" x14ac:dyDescent="0.25">
      <c r="B32" s="43" t="s">
        <v>1091</v>
      </c>
      <c r="C32" s="30">
        <f t="shared" si="2"/>
        <v>29450.543399999999</v>
      </c>
      <c r="D32" s="57">
        <v>29450.543399999999</v>
      </c>
      <c r="E32" s="23">
        <v>126.425214397</v>
      </c>
      <c r="F32" s="24">
        <f t="shared" si="0"/>
        <v>0</v>
      </c>
      <c r="G32" s="25">
        <f t="shared" si="3"/>
        <v>1</v>
      </c>
      <c r="H32" s="26">
        <v>29450.543442199989</v>
      </c>
      <c r="I32" s="27">
        <v>3600</v>
      </c>
      <c r="J32" s="28">
        <f t="shared" si="1"/>
        <v>1.4329104119535116E-9</v>
      </c>
      <c r="K32" s="29">
        <f t="shared" si="4"/>
        <v>1</v>
      </c>
      <c r="L32" s="26">
        <v>36514.6083</v>
      </c>
      <c r="M32" s="27">
        <v>0.40901839099999998</v>
      </c>
      <c r="N32" s="28">
        <f t="shared" si="5"/>
        <v>0.23986195446566877</v>
      </c>
      <c r="O32" s="29">
        <v>0</v>
      </c>
    </row>
    <row r="33" spans="2:15" x14ac:dyDescent="0.25">
      <c r="B33" s="43" t="s">
        <v>1092</v>
      </c>
      <c r="C33" s="30">
        <f t="shared" si="2"/>
        <v>26871.936000000002</v>
      </c>
      <c r="D33" s="57">
        <v>26871.936000000002</v>
      </c>
      <c r="E33" s="23">
        <v>119.110250173</v>
      </c>
      <c r="F33" s="24">
        <f t="shared" si="0"/>
        <v>0</v>
      </c>
      <c r="G33" s="25">
        <f t="shared" si="3"/>
        <v>1</v>
      </c>
      <c r="H33" s="26">
        <v>26871.936027904998</v>
      </c>
      <c r="I33" s="27">
        <v>2769.0669481479999</v>
      </c>
      <c r="J33" s="28">
        <f t="shared" si="1"/>
        <v>1.0384438391970102E-9</v>
      </c>
      <c r="K33" s="29">
        <f t="shared" si="4"/>
        <v>1</v>
      </c>
      <c r="L33" s="26">
        <v>32738.442999999999</v>
      </c>
      <c r="M33" s="27">
        <v>0.411301315</v>
      </c>
      <c r="N33" s="28">
        <f t="shared" si="5"/>
        <v>0.21831352233050857</v>
      </c>
      <c r="O33" s="29">
        <v>0</v>
      </c>
    </row>
    <row r="34" spans="2:15" x14ac:dyDescent="0.25">
      <c r="B34" s="43" t="s">
        <v>1093</v>
      </c>
      <c r="C34" s="30">
        <f t="shared" si="2"/>
        <v>26392.277666635455</v>
      </c>
      <c r="D34" s="57">
        <v>26392.277699999999</v>
      </c>
      <c r="E34" s="23">
        <v>141.32571793299999</v>
      </c>
      <c r="F34" s="24">
        <f t="shared" si="0"/>
        <v>1.2641782700811336E-9</v>
      </c>
      <c r="G34" s="25">
        <f t="shared" si="3"/>
        <v>1</v>
      </c>
      <c r="H34" s="26">
        <v>26392.277666635455</v>
      </c>
      <c r="I34" s="27">
        <v>3451.355366106</v>
      </c>
      <c r="J34" s="28">
        <f t="shared" si="1"/>
        <v>0</v>
      </c>
      <c r="K34" s="29">
        <f t="shared" si="4"/>
        <v>1</v>
      </c>
      <c r="L34" s="26">
        <v>31026.358</v>
      </c>
      <c r="M34" s="27">
        <v>0.57742277099999995</v>
      </c>
      <c r="N34" s="28">
        <f t="shared" si="5"/>
        <v>0.17558470670467555</v>
      </c>
      <c r="O34" s="29">
        <v>0</v>
      </c>
    </row>
    <row r="35" spans="2:15" x14ac:dyDescent="0.25">
      <c r="B35" s="43" t="s">
        <v>1094</v>
      </c>
      <c r="C35" s="30">
        <f t="shared" si="2"/>
        <v>39256.737699999998</v>
      </c>
      <c r="D35" s="57">
        <v>39256.737699999998</v>
      </c>
      <c r="E35" s="23">
        <v>356.47513640599999</v>
      </c>
      <c r="F35" s="24">
        <f t="shared" si="0"/>
        <v>0</v>
      </c>
      <c r="G35" s="25">
        <f t="shared" si="3"/>
        <v>1</v>
      </c>
      <c r="H35" s="26">
        <v>39256.737739134995</v>
      </c>
      <c r="I35" s="27">
        <v>511.89135085499998</v>
      </c>
      <c r="J35" s="28">
        <f t="shared" si="1"/>
        <v>9.9689885256443028E-10</v>
      </c>
      <c r="K35" s="29">
        <f t="shared" si="4"/>
        <v>1</v>
      </c>
      <c r="L35" s="26">
        <v>56912.937299999998</v>
      </c>
      <c r="M35" s="27">
        <v>0.78371066199999995</v>
      </c>
      <c r="N35" s="28">
        <f t="shared" si="5"/>
        <v>0.44976227354724896</v>
      </c>
      <c r="O35" s="29">
        <v>0</v>
      </c>
    </row>
    <row r="36" spans="2:15" x14ac:dyDescent="0.25">
      <c r="B36" s="43" t="s">
        <v>1095</v>
      </c>
      <c r="C36" s="30">
        <f t="shared" si="2"/>
        <v>43331.7235</v>
      </c>
      <c r="D36" s="57">
        <v>43331.7235</v>
      </c>
      <c r="E36" s="23">
        <v>327.67558971900002</v>
      </c>
      <c r="F36" s="24">
        <f t="shared" si="0"/>
        <v>0</v>
      </c>
      <c r="G36" s="25">
        <f t="shared" si="3"/>
        <v>1</v>
      </c>
      <c r="H36" s="26">
        <v>43331.723507995026</v>
      </c>
      <c r="I36" s="27">
        <v>425.04273811500002</v>
      </c>
      <c r="J36" s="28">
        <f t="shared" si="1"/>
        <v>1.8450745337369157E-10</v>
      </c>
      <c r="K36" s="29">
        <f t="shared" si="4"/>
        <v>1</v>
      </c>
      <c r="L36" s="26">
        <v>61578.618499999997</v>
      </c>
      <c r="M36" s="27">
        <v>0.89208015799999996</v>
      </c>
      <c r="N36" s="28">
        <f t="shared" si="5"/>
        <v>0.42109783609230306</v>
      </c>
      <c r="O36" s="29">
        <v>0</v>
      </c>
    </row>
    <row r="37" spans="2:15" x14ac:dyDescent="0.25">
      <c r="B37" s="43" t="s">
        <v>1096</v>
      </c>
      <c r="C37" s="30">
        <f t="shared" si="2"/>
        <v>42389.249499999998</v>
      </c>
      <c r="D37" s="57">
        <v>42389.249499999998</v>
      </c>
      <c r="E37" s="23">
        <v>251.530597882</v>
      </c>
      <c r="F37" s="24">
        <f t="shared" si="0"/>
        <v>0</v>
      </c>
      <c r="G37" s="25">
        <f t="shared" si="3"/>
        <v>1</v>
      </c>
      <c r="H37" s="26">
        <v>42389.249534105023</v>
      </c>
      <c r="I37" s="27">
        <v>341.836180028</v>
      </c>
      <c r="J37" s="28">
        <f t="shared" si="1"/>
        <v>8.0456780454348955E-10</v>
      </c>
      <c r="K37" s="29">
        <f t="shared" si="4"/>
        <v>1</v>
      </c>
      <c r="L37" s="26">
        <v>54997.222699999998</v>
      </c>
      <c r="M37" s="27">
        <v>0.85904444099999999</v>
      </c>
      <c r="N37" s="28">
        <f t="shared" si="5"/>
        <v>0.29743327255652408</v>
      </c>
      <c r="O37" s="29">
        <v>0</v>
      </c>
    </row>
    <row r="38" spans="2:15" x14ac:dyDescent="0.25">
      <c r="B38" s="43" t="s">
        <v>1097</v>
      </c>
      <c r="C38" s="30">
        <f t="shared" si="2"/>
        <v>68155.219599999997</v>
      </c>
      <c r="D38" s="57">
        <v>68155.219599999997</v>
      </c>
      <c r="E38" s="23">
        <v>33.719077779000003</v>
      </c>
      <c r="F38" s="24">
        <f t="shared" si="0"/>
        <v>0</v>
      </c>
      <c r="G38" s="25">
        <f t="shared" si="3"/>
        <v>1</v>
      </c>
      <c r="H38" s="26">
        <v>68155.219611195003</v>
      </c>
      <c r="I38" s="27">
        <v>1111.0276881269999</v>
      </c>
      <c r="J38" s="28">
        <f t="shared" si="1"/>
        <v>1.6425750998403423E-10</v>
      </c>
      <c r="K38" s="29">
        <f t="shared" si="4"/>
        <v>1</v>
      </c>
      <c r="L38" s="26">
        <v>83154.044399999999</v>
      </c>
      <c r="M38" s="27">
        <v>0.21341216700000001</v>
      </c>
      <c r="N38" s="28">
        <f t="shared" si="5"/>
        <v>0.22006861525833896</v>
      </c>
      <c r="O38" s="29">
        <v>0</v>
      </c>
    </row>
    <row r="39" spans="2:15" x14ac:dyDescent="0.25">
      <c r="B39" s="43" t="s">
        <v>1098</v>
      </c>
      <c r="C39" s="30">
        <f t="shared" si="2"/>
        <v>70337.135984339984</v>
      </c>
      <c r="D39" s="57">
        <v>70337.135999999999</v>
      </c>
      <c r="E39" s="23">
        <v>29.594230244999999</v>
      </c>
      <c r="F39" s="24">
        <f t="shared" si="0"/>
        <v>2.2264219675738732E-10</v>
      </c>
      <c r="G39" s="25">
        <f t="shared" si="3"/>
        <v>1</v>
      </c>
      <c r="H39" s="26">
        <v>70337.135984339984</v>
      </c>
      <c r="I39" s="27">
        <v>545.13232147099995</v>
      </c>
      <c r="J39" s="28">
        <f t="shared" si="1"/>
        <v>0</v>
      </c>
      <c r="K39" s="29">
        <f t="shared" si="4"/>
        <v>1</v>
      </c>
      <c r="L39" s="26">
        <v>77736.748999999996</v>
      </c>
      <c r="M39" s="27">
        <v>0.20969606099999999</v>
      </c>
      <c r="N39" s="28">
        <f t="shared" si="5"/>
        <v>0.10520208012603013</v>
      </c>
      <c r="O39" s="29">
        <v>0</v>
      </c>
    </row>
    <row r="40" spans="2:15" x14ac:dyDescent="0.25">
      <c r="B40" s="43" t="s">
        <v>1099</v>
      </c>
      <c r="C40" s="30">
        <f t="shared" si="2"/>
        <v>66395.000100000005</v>
      </c>
      <c r="D40" s="57">
        <v>66395.000100000005</v>
      </c>
      <c r="E40" s="23">
        <v>27.251565609</v>
      </c>
      <c r="F40" s="24">
        <f t="shared" si="0"/>
        <v>0</v>
      </c>
      <c r="G40" s="25">
        <f t="shared" si="3"/>
        <v>1</v>
      </c>
      <c r="H40" s="26">
        <v>66395.000141525001</v>
      </c>
      <c r="I40" s="27">
        <v>45.913460358999998</v>
      </c>
      <c r="J40" s="28">
        <f t="shared" si="1"/>
        <v>6.2542354073589591E-10</v>
      </c>
      <c r="K40" s="29">
        <f t="shared" si="4"/>
        <v>1</v>
      </c>
      <c r="L40" s="26">
        <v>66895.000100000005</v>
      </c>
      <c r="M40" s="27">
        <v>0.221931288</v>
      </c>
      <c r="N40" s="28">
        <f t="shared" si="5"/>
        <v>7.5306875404312253E-3</v>
      </c>
      <c r="O40" s="29">
        <v>1</v>
      </c>
    </row>
    <row r="41" spans="2:15" x14ac:dyDescent="0.25">
      <c r="B41" s="43" t="s">
        <v>1100</v>
      </c>
      <c r="C41" s="30">
        <f t="shared" si="2"/>
        <v>60963.874900000003</v>
      </c>
      <c r="D41" s="57">
        <v>60963.874900000003</v>
      </c>
      <c r="E41" s="23">
        <v>52.834708395</v>
      </c>
      <c r="F41" s="24">
        <f t="shared" si="0"/>
        <v>0</v>
      </c>
      <c r="G41" s="25">
        <f t="shared" si="3"/>
        <v>1</v>
      </c>
      <c r="H41" s="26">
        <v>60963.874924989977</v>
      </c>
      <c r="I41" s="27">
        <v>3332.5168251700002</v>
      </c>
      <c r="J41" s="28">
        <f t="shared" si="1"/>
        <v>4.099144773660694E-10</v>
      </c>
      <c r="K41" s="29">
        <f t="shared" si="4"/>
        <v>1</v>
      </c>
      <c r="L41" s="26">
        <v>77929.732799999998</v>
      </c>
      <c r="M41" s="27">
        <v>0.35406911600000002</v>
      </c>
      <c r="N41" s="28">
        <f t="shared" si="5"/>
        <v>0.2782936276250379</v>
      </c>
      <c r="O41" s="29">
        <v>0</v>
      </c>
    </row>
    <row r="42" spans="2:15" x14ac:dyDescent="0.25">
      <c r="B42" s="43" t="s">
        <v>1101</v>
      </c>
      <c r="C42" s="30">
        <f t="shared" si="2"/>
        <v>64316.011700000003</v>
      </c>
      <c r="D42" s="57">
        <v>64316.011700000003</v>
      </c>
      <c r="E42" s="23">
        <v>47.229864171999999</v>
      </c>
      <c r="F42" s="24">
        <f t="shared" si="0"/>
        <v>0</v>
      </c>
      <c r="G42" s="25">
        <f t="shared" si="3"/>
        <v>1</v>
      </c>
      <c r="H42" s="26">
        <v>64316.011730210019</v>
      </c>
      <c r="I42" s="27">
        <v>1411.10956362</v>
      </c>
      <c r="J42" s="28">
        <f t="shared" si="1"/>
        <v>4.6971221196992923E-10</v>
      </c>
      <c r="K42" s="29">
        <f t="shared" si="4"/>
        <v>1</v>
      </c>
      <c r="L42" s="26">
        <v>74106.600200000001</v>
      </c>
      <c r="M42" s="27">
        <v>0.31451411299999998</v>
      </c>
      <c r="N42" s="28">
        <f t="shared" si="5"/>
        <v>0.15222630012675362</v>
      </c>
      <c r="O42" s="29">
        <v>0</v>
      </c>
    </row>
    <row r="43" spans="2:15" x14ac:dyDescent="0.25">
      <c r="B43" s="43" t="s">
        <v>1102</v>
      </c>
      <c r="C43" s="30">
        <f t="shared" si="2"/>
        <v>61865.520473720011</v>
      </c>
      <c r="D43" s="57">
        <v>61865.520499999999</v>
      </c>
      <c r="E43" s="23">
        <v>42.716753982</v>
      </c>
      <c r="F43" s="24">
        <f t="shared" si="0"/>
        <v>4.2479215320086032E-10</v>
      </c>
      <c r="G43" s="25">
        <f t="shared" si="3"/>
        <v>1</v>
      </c>
      <c r="H43" s="26">
        <v>61865.520473720011</v>
      </c>
      <c r="I43" s="27">
        <v>451.19422131900001</v>
      </c>
      <c r="J43" s="28">
        <f t="shared" si="1"/>
        <v>0</v>
      </c>
      <c r="K43" s="29">
        <f t="shared" si="4"/>
        <v>1</v>
      </c>
      <c r="L43" s="26">
        <v>63485.587500000001</v>
      </c>
      <c r="M43" s="27">
        <v>0.26970066999999998</v>
      </c>
      <c r="N43" s="28">
        <f t="shared" si="5"/>
        <v>2.6186913386887001E-2</v>
      </c>
      <c r="O43" s="29">
        <v>0</v>
      </c>
    </row>
    <row r="44" spans="2:15" x14ac:dyDescent="0.25">
      <c r="B44" s="43" t="s">
        <v>1103</v>
      </c>
      <c r="C44" s="30">
        <f t="shared" si="2"/>
        <v>55583.483491625004</v>
      </c>
      <c r="D44" s="57">
        <v>55583.483500000002</v>
      </c>
      <c r="E44" s="23">
        <v>76.337854714000002</v>
      </c>
      <c r="F44" s="24">
        <f t="shared" si="0"/>
        <v>1.5067422481761767E-10</v>
      </c>
      <c r="G44" s="25">
        <f t="shared" si="3"/>
        <v>1</v>
      </c>
      <c r="H44" s="26">
        <v>55583.483491625004</v>
      </c>
      <c r="I44" s="27">
        <v>1873.418129852</v>
      </c>
      <c r="J44" s="28">
        <f t="shared" si="1"/>
        <v>0</v>
      </c>
      <c r="K44" s="29">
        <f t="shared" si="4"/>
        <v>1</v>
      </c>
      <c r="L44" s="26">
        <v>68036.542700000005</v>
      </c>
      <c r="M44" s="27">
        <v>0.42646334899999999</v>
      </c>
      <c r="N44" s="28">
        <f t="shared" si="5"/>
        <v>0.22404243897832268</v>
      </c>
      <c r="O44" s="29">
        <v>0</v>
      </c>
    </row>
    <row r="45" spans="2:15" x14ac:dyDescent="0.25">
      <c r="B45" s="43" t="s">
        <v>1104</v>
      </c>
      <c r="C45" s="30">
        <f t="shared" si="2"/>
        <v>59892.725289735034</v>
      </c>
      <c r="D45" s="57">
        <v>59892.725299999998</v>
      </c>
      <c r="E45" s="23">
        <v>76.091603513999999</v>
      </c>
      <c r="F45" s="24">
        <f t="shared" si="0"/>
        <v>1.7138917302858092E-10</v>
      </c>
      <c r="G45" s="25">
        <f t="shared" si="3"/>
        <v>1</v>
      </c>
      <c r="H45" s="26">
        <v>59892.725289735034</v>
      </c>
      <c r="I45" s="27">
        <v>1054.3387239169999</v>
      </c>
      <c r="J45" s="28">
        <f t="shared" si="1"/>
        <v>0</v>
      </c>
      <c r="K45" s="29">
        <f t="shared" si="4"/>
        <v>1</v>
      </c>
      <c r="L45" s="26">
        <v>72056.133600000001</v>
      </c>
      <c r="M45" s="27">
        <v>0.40051029700000002</v>
      </c>
      <c r="N45" s="28">
        <f t="shared" si="5"/>
        <v>0.20308657272521283</v>
      </c>
      <c r="O45" s="29">
        <v>0</v>
      </c>
    </row>
    <row r="46" spans="2:15" x14ac:dyDescent="0.25">
      <c r="B46" s="43" t="s">
        <v>1105</v>
      </c>
      <c r="C46" s="30">
        <f t="shared" si="2"/>
        <v>57528.280599999998</v>
      </c>
      <c r="D46" s="57">
        <v>57528.280599999998</v>
      </c>
      <c r="E46" s="23">
        <v>66.836185901999997</v>
      </c>
      <c r="F46" s="24">
        <f t="shared" si="0"/>
        <v>0</v>
      </c>
      <c r="G46" s="25">
        <f t="shared" si="3"/>
        <v>1</v>
      </c>
      <c r="H46" s="26">
        <v>57528.28064390002</v>
      </c>
      <c r="I46" s="27">
        <v>441.53517449899999</v>
      </c>
      <c r="J46" s="28">
        <f t="shared" si="1"/>
        <v>7.6310331114053032E-10</v>
      </c>
      <c r="K46" s="29">
        <f t="shared" si="4"/>
        <v>1</v>
      </c>
      <c r="L46" s="26">
        <v>61991.737999999998</v>
      </c>
      <c r="M46" s="27">
        <v>0.41110686800000001</v>
      </c>
      <c r="N46" s="28">
        <f t="shared" si="5"/>
        <v>7.7587185875324066E-2</v>
      </c>
      <c r="O46" s="29">
        <v>0</v>
      </c>
    </row>
    <row r="47" spans="2:15" x14ac:dyDescent="0.25">
      <c r="B47" s="43" t="s">
        <v>1106</v>
      </c>
      <c r="C47" s="30">
        <f t="shared" si="2"/>
        <v>51434.61686117002</v>
      </c>
      <c r="D47" s="57">
        <v>51434.616900000001</v>
      </c>
      <c r="E47" s="23">
        <v>113.52937525199999</v>
      </c>
      <c r="F47" s="24">
        <f t="shared" si="0"/>
        <v>7.5493867202737693E-10</v>
      </c>
      <c r="G47" s="25">
        <f t="shared" si="3"/>
        <v>1</v>
      </c>
      <c r="H47" s="26">
        <v>51434.61686117002</v>
      </c>
      <c r="I47" s="27">
        <v>1806.0102911409999</v>
      </c>
      <c r="J47" s="28">
        <f t="shared" si="1"/>
        <v>0</v>
      </c>
      <c r="K47" s="29">
        <f t="shared" si="4"/>
        <v>1</v>
      </c>
      <c r="L47" s="26">
        <v>63755.612399999998</v>
      </c>
      <c r="M47" s="27">
        <v>0.44289092200000002</v>
      </c>
      <c r="N47" s="28">
        <f t="shared" si="5"/>
        <v>0.23954675451527616</v>
      </c>
      <c r="O47" s="29">
        <v>0</v>
      </c>
    </row>
    <row r="48" spans="2:15" x14ac:dyDescent="0.25">
      <c r="B48" s="43" t="s">
        <v>1107</v>
      </c>
      <c r="C48" s="30">
        <f t="shared" si="2"/>
        <v>56196.408900000002</v>
      </c>
      <c r="D48" s="57">
        <v>56196.408900000002</v>
      </c>
      <c r="E48" s="23">
        <v>95.986118113000003</v>
      </c>
      <c r="F48" s="24">
        <f t="shared" si="0"/>
        <v>0</v>
      </c>
      <c r="G48" s="25">
        <f t="shared" si="3"/>
        <v>1</v>
      </c>
      <c r="H48" s="26">
        <v>56196.408928750017</v>
      </c>
      <c r="I48" s="27">
        <v>3137.0840259319998</v>
      </c>
      <c r="J48" s="28">
        <f t="shared" si="1"/>
        <v>5.1159879701621271E-10</v>
      </c>
      <c r="K48" s="29">
        <f t="shared" si="4"/>
        <v>1</v>
      </c>
      <c r="L48" s="26">
        <v>69065.938899999994</v>
      </c>
      <c r="M48" s="27">
        <v>0.44607050300000001</v>
      </c>
      <c r="N48" s="28">
        <f t="shared" si="5"/>
        <v>0.22900982913162607</v>
      </c>
      <c r="O48" s="29">
        <v>0</v>
      </c>
    </row>
    <row r="49" spans="2:16" ht="15.75" thickBot="1" x14ac:dyDescent="0.3">
      <c r="B49" s="44" t="s">
        <v>1108</v>
      </c>
      <c r="C49" s="30">
        <f t="shared" si="2"/>
        <v>53654.003662455027</v>
      </c>
      <c r="D49" s="57">
        <v>53654.003700000001</v>
      </c>
      <c r="E49" s="23">
        <v>88.221760420999999</v>
      </c>
      <c r="F49" s="24">
        <f t="shared" si="0"/>
        <v>6.9976091087942792E-10</v>
      </c>
      <c r="G49" s="25">
        <f t="shared" si="3"/>
        <v>1</v>
      </c>
      <c r="H49" s="26">
        <v>53654.003662455027</v>
      </c>
      <c r="I49" s="27">
        <v>296.605394558</v>
      </c>
      <c r="J49" s="28">
        <f t="shared" si="1"/>
        <v>0</v>
      </c>
      <c r="K49" s="29">
        <f t="shared" si="4"/>
        <v>1</v>
      </c>
      <c r="L49" s="26">
        <v>60482.714399999997</v>
      </c>
      <c r="M49" s="27">
        <v>0.50946343699999996</v>
      </c>
      <c r="N49" s="28">
        <f t="shared" si="5"/>
        <v>0.127273088146513</v>
      </c>
      <c r="O49" s="29">
        <v>0</v>
      </c>
    </row>
    <row r="50" spans="2:16" ht="15.75" thickBot="1" x14ac:dyDescent="0.3">
      <c r="C50" s="33">
        <f>AVERAGE(C5:C49)</f>
        <v>40808.82089653967</v>
      </c>
      <c r="D50" s="58">
        <f>AVERAGE(D5:D49)</f>
        <v>40808.820904444445</v>
      </c>
      <c r="E50" s="35">
        <f>AVERAGE(E5:E49)</f>
        <v>121.13184908308888</v>
      </c>
      <c r="F50" s="36">
        <f>AVERAGE(F5:F49)</f>
        <v>2.1169157567087081E-10</v>
      </c>
      <c r="G50" s="37">
        <f>SUM(G5:G49)</f>
        <v>45</v>
      </c>
      <c r="H50" s="38">
        <f>AVERAGE(H5:H49)</f>
        <v>40844.244969373111</v>
      </c>
      <c r="I50" s="38">
        <f>AVERAGE(I5:I49)</f>
        <v>2264.8831619450443</v>
      </c>
      <c r="J50" s="54">
        <f>AVERAGE(J5:J49)</f>
        <v>9.6756284233381787E-4</v>
      </c>
      <c r="K50" s="40">
        <f>SUM(K5:K49)</f>
        <v>43</v>
      </c>
      <c r="L50" s="38">
        <v>49240.31045777777</v>
      </c>
      <c r="M50" s="38">
        <v>0.46041717131111126</v>
      </c>
      <c r="N50" s="54">
        <v>0.22145407305675144</v>
      </c>
      <c r="O50" s="40">
        <v>1</v>
      </c>
    </row>
    <row r="54" spans="2:16" ht="15.75" thickBot="1" x14ac:dyDescent="0.3"/>
    <row r="55" spans="2:16" x14ac:dyDescent="0.25">
      <c r="B55" s="1"/>
      <c r="C55" s="55"/>
      <c r="D55" s="4" t="s">
        <v>126</v>
      </c>
      <c r="E55" s="5"/>
      <c r="F55" s="5"/>
      <c r="G55" s="6"/>
      <c r="H55" s="7" t="s">
        <v>125</v>
      </c>
      <c r="I55" s="8"/>
      <c r="J55" s="8"/>
      <c r="K55" s="9"/>
      <c r="L55" s="60"/>
      <c r="M55" s="7" t="s">
        <v>247</v>
      </c>
      <c r="N55" s="8"/>
      <c r="O55" s="8"/>
      <c r="P55" s="9"/>
    </row>
    <row r="56" spans="2:16" ht="15.75" thickBot="1" x14ac:dyDescent="0.3">
      <c r="B56" s="10"/>
      <c r="C56" s="56" t="s">
        <v>1109</v>
      </c>
      <c r="D56" s="13" t="s">
        <v>1</v>
      </c>
      <c r="E56" s="14" t="s">
        <v>2</v>
      </c>
      <c r="F56" s="14" t="s">
        <v>3</v>
      </c>
      <c r="G56" s="15" t="s">
        <v>4</v>
      </c>
      <c r="H56" s="16" t="s">
        <v>1</v>
      </c>
      <c r="I56" s="17" t="s">
        <v>2</v>
      </c>
      <c r="J56" s="17" t="s">
        <v>3</v>
      </c>
      <c r="K56" s="18" t="s">
        <v>4</v>
      </c>
      <c r="L56" s="61" t="s">
        <v>1155</v>
      </c>
      <c r="M56" s="16" t="s">
        <v>1</v>
      </c>
      <c r="N56" s="17" t="s">
        <v>2</v>
      </c>
      <c r="O56" s="17" t="s">
        <v>3</v>
      </c>
      <c r="P56" s="18" t="s">
        <v>4</v>
      </c>
    </row>
    <row r="57" spans="2:16" x14ac:dyDescent="0.25">
      <c r="B57" s="52" t="s">
        <v>1110</v>
      </c>
      <c r="C57" s="59">
        <v>616424.93500000006</v>
      </c>
      <c r="D57" s="57">
        <v>616424.93539999996</v>
      </c>
      <c r="E57" s="23">
        <v>370.32254918799998</v>
      </c>
      <c r="F57" s="24">
        <f t="shared" ref="F57:F101" si="6">(D57-C57)/C57</f>
        <v>6.4890285884307823E-10</v>
      </c>
      <c r="G57" s="25">
        <f>IF(F57&lt;0.000001,1,0)</f>
        <v>1</v>
      </c>
      <c r="H57" s="26">
        <v>616424.93500000006</v>
      </c>
      <c r="I57" s="27">
        <v>3600</v>
      </c>
      <c r="J57" s="28">
        <f t="shared" ref="J57:J101" si="7">(H57-C57)/C57</f>
        <v>0</v>
      </c>
      <c r="K57" s="29">
        <f>IF(J57&lt;0.000001,1,0)</f>
        <v>1</v>
      </c>
      <c r="L57" s="62">
        <v>0.247</v>
      </c>
      <c r="M57" s="26">
        <v>985485.31740000006</v>
      </c>
      <c r="N57" s="27">
        <v>1.2462704870000001</v>
      </c>
      <c r="O57" s="28">
        <v>0.59871098887328422</v>
      </c>
      <c r="P57" s="29">
        <v>0</v>
      </c>
    </row>
    <row r="58" spans="2:16" x14ac:dyDescent="0.25">
      <c r="B58" s="43" t="s">
        <v>1111</v>
      </c>
      <c r="C58" s="59">
        <v>695251.06880000001</v>
      </c>
      <c r="D58" s="57">
        <v>695251.06880000001</v>
      </c>
      <c r="E58" s="23">
        <v>390.32254918799998</v>
      </c>
      <c r="F58" s="24">
        <f t="shared" si="6"/>
        <v>0</v>
      </c>
      <c r="G58" s="25">
        <f t="shared" ref="G58:G101" si="8">IF(F58&lt;0.000001,1,0)</f>
        <v>1</v>
      </c>
      <c r="H58" s="26">
        <v>748080.92200000002</v>
      </c>
      <c r="I58" s="27">
        <v>3600</v>
      </c>
      <c r="J58" s="28">
        <f t="shared" si="7"/>
        <v>7.5986727055571565E-2</v>
      </c>
      <c r="K58" s="29">
        <f t="shared" ref="K58:K101" si="9">IF(J58&lt;0.000001,1,0)</f>
        <v>0</v>
      </c>
      <c r="L58" s="62">
        <v>0.35599999999999998</v>
      </c>
      <c r="M58" s="26">
        <v>1074383.32</v>
      </c>
      <c r="N58" s="27">
        <v>0.88273023699999997</v>
      </c>
      <c r="O58" s="28">
        <v>0.54531703468558557</v>
      </c>
      <c r="P58" s="29">
        <v>0</v>
      </c>
    </row>
    <row r="59" spans="2:16" x14ac:dyDescent="0.25">
      <c r="B59" s="43" t="s">
        <v>1112</v>
      </c>
      <c r="C59" s="59">
        <v>693774.14399999997</v>
      </c>
      <c r="D59" s="57">
        <v>693774.14399999997</v>
      </c>
      <c r="E59" s="23">
        <v>388.49596238100003</v>
      </c>
      <c r="F59" s="24">
        <f t="shared" si="6"/>
        <v>0</v>
      </c>
      <c r="G59" s="25">
        <f t="shared" si="8"/>
        <v>1</v>
      </c>
      <c r="H59" s="26">
        <v>737312.31599999999</v>
      </c>
      <c r="I59" s="27">
        <v>3600</v>
      </c>
      <c r="J59" s="28">
        <f t="shared" si="7"/>
        <v>6.275554137687786E-2</v>
      </c>
      <c r="K59" s="29">
        <f t="shared" si="9"/>
        <v>0</v>
      </c>
      <c r="L59" s="62">
        <v>0.375</v>
      </c>
      <c r="M59" s="26">
        <v>1154397.5334000001</v>
      </c>
      <c r="N59" s="27">
        <v>0.92390528100000002</v>
      </c>
      <c r="O59" s="28">
        <v>0.66393853588178708</v>
      </c>
      <c r="P59" s="29">
        <v>0</v>
      </c>
    </row>
    <row r="60" spans="2:16" x14ac:dyDescent="0.25">
      <c r="B60" s="43" t="s">
        <v>1113</v>
      </c>
      <c r="C60" s="59">
        <v>1143848.1387</v>
      </c>
      <c r="D60" s="57">
        <v>1143848.1387</v>
      </c>
      <c r="E60" s="23">
        <v>25.913985820000001</v>
      </c>
      <c r="F60" s="24">
        <f t="shared" si="6"/>
        <v>0</v>
      </c>
      <c r="G60" s="25">
        <f t="shared" si="8"/>
        <v>1</v>
      </c>
      <c r="H60" s="26">
        <v>1216545.48</v>
      </c>
      <c r="I60" s="27">
        <v>3600</v>
      </c>
      <c r="J60" s="28">
        <f t="shared" si="7"/>
        <v>6.3555063684084451E-2</v>
      </c>
      <c r="K60" s="29">
        <f t="shared" si="9"/>
        <v>0</v>
      </c>
      <c r="L60" s="62">
        <v>0.21299999999999999</v>
      </c>
      <c r="M60" s="26">
        <v>1294396.3766000001</v>
      </c>
      <c r="N60" s="27">
        <v>0.29190728700000002</v>
      </c>
      <c r="O60" s="28">
        <v>0.13161558148016075</v>
      </c>
      <c r="P60" s="29">
        <v>0</v>
      </c>
    </row>
    <row r="61" spans="2:16" x14ac:dyDescent="0.25">
      <c r="B61" s="43" t="s">
        <v>1114</v>
      </c>
      <c r="C61" s="59">
        <v>1225902.2849999999</v>
      </c>
      <c r="D61" s="57">
        <v>1225902.2851</v>
      </c>
      <c r="E61" s="23">
        <v>27.509537193</v>
      </c>
      <c r="F61" s="24">
        <f t="shared" si="6"/>
        <v>8.1572621391603047E-11</v>
      </c>
      <c r="G61" s="25">
        <f t="shared" si="8"/>
        <v>1</v>
      </c>
      <c r="H61" s="26">
        <v>1225902.2849999999</v>
      </c>
      <c r="I61" s="27">
        <v>3600</v>
      </c>
      <c r="J61" s="28">
        <f t="shared" si="7"/>
        <v>0</v>
      </c>
      <c r="K61" s="29">
        <f t="shared" si="9"/>
        <v>1</v>
      </c>
      <c r="L61" s="62">
        <v>0.161</v>
      </c>
      <c r="M61" s="26">
        <v>1637759.0105999999</v>
      </c>
      <c r="N61" s="27">
        <v>0.21132825999999999</v>
      </c>
      <c r="O61" s="28">
        <v>0.33596211593650799</v>
      </c>
      <c r="P61" s="29">
        <v>0</v>
      </c>
    </row>
    <row r="62" spans="2:16" x14ac:dyDescent="0.25">
      <c r="B62" s="43" t="s">
        <v>1115</v>
      </c>
      <c r="C62" s="59">
        <v>1125662.3825000001</v>
      </c>
      <c r="D62" s="57">
        <v>1125662.3825000001</v>
      </c>
      <c r="E62" s="23">
        <v>28.144559987000001</v>
      </c>
      <c r="F62" s="24">
        <f t="shared" si="6"/>
        <v>0</v>
      </c>
      <c r="G62" s="25">
        <f t="shared" si="8"/>
        <v>1</v>
      </c>
      <c r="H62" s="26">
        <v>1130951.05</v>
      </c>
      <c r="I62" s="27">
        <v>3600</v>
      </c>
      <c r="J62" s="28">
        <f t="shared" si="7"/>
        <v>4.6982715085977225E-3</v>
      </c>
      <c r="K62" s="29">
        <f t="shared" si="9"/>
        <v>0</v>
      </c>
      <c r="L62" s="62">
        <v>0.128</v>
      </c>
      <c r="M62" s="26">
        <v>1542503.3928</v>
      </c>
      <c r="N62" s="27">
        <v>0.21022698000000001</v>
      </c>
      <c r="O62" s="28">
        <v>0.37030731130432881</v>
      </c>
      <c r="P62" s="29">
        <v>0</v>
      </c>
    </row>
    <row r="63" spans="2:16" x14ac:dyDescent="0.25">
      <c r="B63" s="43" t="s">
        <v>1116</v>
      </c>
      <c r="C63" s="59">
        <v>994640.60719999997</v>
      </c>
      <c r="D63" s="57">
        <v>994640.60719999997</v>
      </c>
      <c r="E63" s="23">
        <v>48.501723216999999</v>
      </c>
      <c r="F63" s="24">
        <f t="shared" si="6"/>
        <v>0</v>
      </c>
      <c r="G63" s="25">
        <f t="shared" si="8"/>
        <v>1</v>
      </c>
      <c r="H63" s="26">
        <v>1022801.87</v>
      </c>
      <c r="I63" s="27">
        <v>3600</v>
      </c>
      <c r="J63" s="28">
        <f t="shared" si="7"/>
        <v>2.8313003306064927E-2</v>
      </c>
      <c r="K63" s="29">
        <f t="shared" si="9"/>
        <v>0</v>
      </c>
      <c r="L63" s="62">
        <v>0.22900000000000001</v>
      </c>
      <c r="M63" s="26">
        <v>1228751.2579000001</v>
      </c>
      <c r="N63" s="27">
        <v>0.40599532700000002</v>
      </c>
      <c r="O63" s="28">
        <v>0.23537210225012029</v>
      </c>
      <c r="P63" s="29">
        <v>0</v>
      </c>
    </row>
    <row r="64" spans="2:16" x14ac:dyDescent="0.25">
      <c r="B64" s="43" t="s">
        <v>1117</v>
      </c>
      <c r="C64" s="59">
        <v>1117008.4879999999</v>
      </c>
      <c r="D64" s="57">
        <v>1117008.4879999999</v>
      </c>
      <c r="E64" s="23">
        <v>120.040292544</v>
      </c>
      <c r="F64" s="24">
        <f t="shared" si="6"/>
        <v>0</v>
      </c>
      <c r="G64" s="25">
        <f t="shared" si="8"/>
        <v>1</v>
      </c>
      <c r="H64" s="26">
        <v>1209210.73</v>
      </c>
      <c r="I64" s="27">
        <v>3600</v>
      </c>
      <c r="J64" s="28">
        <f t="shared" si="7"/>
        <v>8.2543904536560783E-2</v>
      </c>
      <c r="K64" s="29">
        <f t="shared" si="9"/>
        <v>0</v>
      </c>
      <c r="L64" s="62">
        <v>0.29699999999999999</v>
      </c>
      <c r="M64" s="26">
        <v>1505625.1070999999</v>
      </c>
      <c r="N64" s="27">
        <v>0.32989053499999998</v>
      </c>
      <c r="O64" s="28">
        <v>0.34790838500772436</v>
      </c>
      <c r="P64" s="29">
        <v>0</v>
      </c>
    </row>
    <row r="65" spans="2:16" x14ac:dyDescent="0.25">
      <c r="B65" s="43" t="s">
        <v>1118</v>
      </c>
      <c r="C65" s="59">
        <v>1008692.684</v>
      </c>
      <c r="D65" s="57">
        <v>1008692.6843</v>
      </c>
      <c r="E65" s="23">
        <v>62.485420316999999</v>
      </c>
      <c r="F65" s="24">
        <f t="shared" si="6"/>
        <v>2.9741462469214704E-10</v>
      </c>
      <c r="G65" s="25">
        <f t="shared" si="8"/>
        <v>1</v>
      </c>
      <c r="H65" s="26">
        <v>1008692.684</v>
      </c>
      <c r="I65" s="27">
        <v>3600</v>
      </c>
      <c r="J65" s="28">
        <f t="shared" si="7"/>
        <v>0</v>
      </c>
      <c r="K65" s="29">
        <f t="shared" si="9"/>
        <v>1</v>
      </c>
      <c r="L65" s="62">
        <v>0.19400000000000001</v>
      </c>
      <c r="M65" s="26">
        <v>1374151.6745</v>
      </c>
      <c r="N65" s="27">
        <v>0.39178830799999997</v>
      </c>
      <c r="O65" s="28">
        <v>0.36230954808828569</v>
      </c>
      <c r="P65" s="29">
        <v>0</v>
      </c>
    </row>
    <row r="66" spans="2:16" x14ac:dyDescent="0.25">
      <c r="B66" s="43" t="s">
        <v>1119</v>
      </c>
      <c r="C66" s="59">
        <v>895006.56400000001</v>
      </c>
      <c r="D66" s="57">
        <v>895006.56400000001</v>
      </c>
      <c r="E66" s="23">
        <v>93.493229049000007</v>
      </c>
      <c r="F66" s="24">
        <f t="shared" si="6"/>
        <v>0</v>
      </c>
      <c r="G66" s="25">
        <f t="shared" si="8"/>
        <v>1</v>
      </c>
      <c r="H66" s="26">
        <v>939136.17299999995</v>
      </c>
      <c r="I66" s="27">
        <v>3600</v>
      </c>
      <c r="J66" s="28">
        <f t="shared" si="7"/>
        <v>4.9306464080860014E-2</v>
      </c>
      <c r="K66" s="29">
        <f t="shared" si="9"/>
        <v>0</v>
      </c>
      <c r="L66" s="62">
        <v>0.24299999999999999</v>
      </c>
      <c r="M66" s="26">
        <v>1202583.9686</v>
      </c>
      <c r="N66" s="27">
        <v>0.399167151</v>
      </c>
      <c r="O66" s="28">
        <v>0.34365938415620378</v>
      </c>
      <c r="P66" s="29">
        <v>0</v>
      </c>
    </row>
    <row r="67" spans="2:16" x14ac:dyDescent="0.25">
      <c r="B67" s="43" t="s">
        <v>1120</v>
      </c>
      <c r="C67" s="59">
        <v>1014876.5621</v>
      </c>
      <c r="D67" s="57">
        <v>1014876.5621</v>
      </c>
      <c r="E67" s="23">
        <v>174.13225357600001</v>
      </c>
      <c r="F67" s="24">
        <f t="shared" si="6"/>
        <v>0</v>
      </c>
      <c r="G67" s="25">
        <f t="shared" si="8"/>
        <v>1</v>
      </c>
      <c r="H67" s="26">
        <v>1025413.07</v>
      </c>
      <c r="I67" s="27">
        <v>3600</v>
      </c>
      <c r="J67" s="28">
        <f t="shared" si="7"/>
        <v>1.0382058561090075E-2</v>
      </c>
      <c r="K67" s="29">
        <f t="shared" si="9"/>
        <v>0</v>
      </c>
      <c r="L67" s="62">
        <v>0.27300000000000002</v>
      </c>
      <c r="M67" s="26">
        <v>1432797.4982</v>
      </c>
      <c r="N67" s="27">
        <v>0.41792991800000001</v>
      </c>
      <c r="O67" s="28">
        <v>0.41179484452299392</v>
      </c>
      <c r="P67" s="29">
        <v>0</v>
      </c>
    </row>
    <row r="68" spans="2:16" x14ac:dyDescent="0.25">
      <c r="B68" s="43" t="s">
        <v>1121</v>
      </c>
      <c r="C68" s="59">
        <v>943046.77249999996</v>
      </c>
      <c r="D68" s="57">
        <v>943046.77249999996</v>
      </c>
      <c r="E68" s="23">
        <v>86.453473388999996</v>
      </c>
      <c r="F68" s="24">
        <f t="shared" si="6"/>
        <v>0</v>
      </c>
      <c r="G68" s="25">
        <f t="shared" si="8"/>
        <v>1</v>
      </c>
      <c r="H68" s="26">
        <v>1050777.45</v>
      </c>
      <c r="I68" s="27">
        <v>3600</v>
      </c>
      <c r="J68" s="28">
        <f t="shared" si="7"/>
        <v>0.11423683388938166</v>
      </c>
      <c r="K68" s="29">
        <f t="shared" si="9"/>
        <v>0</v>
      </c>
      <c r="L68" s="62">
        <v>0.32500000000000001</v>
      </c>
      <c r="M68" s="26">
        <v>1180500.3271999999</v>
      </c>
      <c r="N68" s="27">
        <v>0.41788188599999998</v>
      </c>
      <c r="O68" s="28">
        <v>0.25179403781905207</v>
      </c>
      <c r="P68" s="29">
        <v>0</v>
      </c>
    </row>
    <row r="69" spans="2:16" x14ac:dyDescent="0.25">
      <c r="B69" s="43" t="s">
        <v>1122</v>
      </c>
      <c r="C69" s="59">
        <v>838981.06599999999</v>
      </c>
      <c r="D69" s="57">
        <v>838981.06599999999</v>
      </c>
      <c r="E69" s="23">
        <v>107.693699048</v>
      </c>
      <c r="F69" s="24">
        <f t="shared" si="6"/>
        <v>0</v>
      </c>
      <c r="G69" s="25">
        <f t="shared" si="8"/>
        <v>1</v>
      </c>
      <c r="H69" s="26">
        <v>844836.21200000006</v>
      </c>
      <c r="I69" s="27">
        <v>3600</v>
      </c>
      <c r="J69" s="28">
        <f t="shared" si="7"/>
        <v>6.9788773993620327E-3</v>
      </c>
      <c r="K69" s="29">
        <f t="shared" si="9"/>
        <v>0</v>
      </c>
      <c r="L69" s="62">
        <v>0.247</v>
      </c>
      <c r="M69" s="26">
        <v>1158942.6923</v>
      </c>
      <c r="N69" s="27">
        <v>0.48771718200000003</v>
      </c>
      <c r="O69" s="28">
        <v>0.38136930529967406</v>
      </c>
      <c r="P69" s="29">
        <v>0</v>
      </c>
    </row>
    <row r="70" spans="2:16" x14ac:dyDescent="0.25">
      <c r="B70" s="43" t="s">
        <v>1123</v>
      </c>
      <c r="C70" s="59">
        <v>942802.43599999999</v>
      </c>
      <c r="D70" s="57">
        <v>942802.43640000001</v>
      </c>
      <c r="E70" s="23">
        <v>117.71391344200001</v>
      </c>
      <c r="F70" s="24">
        <f t="shared" si="6"/>
        <v>4.2426706139628657E-10</v>
      </c>
      <c r="G70" s="25">
        <f t="shared" si="8"/>
        <v>1</v>
      </c>
      <c r="H70" s="26">
        <v>942802.43599999999</v>
      </c>
      <c r="I70" s="27">
        <v>3600</v>
      </c>
      <c r="J70" s="28">
        <f t="shared" si="7"/>
        <v>0</v>
      </c>
      <c r="K70" s="29">
        <f t="shared" si="9"/>
        <v>1</v>
      </c>
      <c r="L70" s="62">
        <v>0.28499999999999998</v>
      </c>
      <c r="M70" s="26">
        <v>1369745.1703999999</v>
      </c>
      <c r="N70" s="27">
        <v>0.80804105800000003</v>
      </c>
      <c r="O70" s="28">
        <v>0.45284432676200675</v>
      </c>
      <c r="P70" s="29">
        <v>0</v>
      </c>
    </row>
    <row r="71" spans="2:16" x14ac:dyDescent="0.25">
      <c r="B71" s="43" t="s">
        <v>1124</v>
      </c>
      <c r="C71" s="59">
        <v>890088.71799999999</v>
      </c>
      <c r="D71" s="57">
        <v>890088.71799999999</v>
      </c>
      <c r="E71" s="23">
        <v>108.23051849700001</v>
      </c>
      <c r="F71" s="24">
        <f t="shared" si="6"/>
        <v>0</v>
      </c>
      <c r="G71" s="25">
        <f t="shared" si="8"/>
        <v>1</v>
      </c>
      <c r="H71" s="26">
        <v>953423.84499999997</v>
      </c>
      <c r="I71" s="27">
        <v>3600</v>
      </c>
      <c r="J71" s="28">
        <f t="shared" si="7"/>
        <v>7.1155970993893647E-2</v>
      </c>
      <c r="K71" s="29">
        <f t="shared" si="9"/>
        <v>0</v>
      </c>
      <c r="L71" s="62">
        <v>0.33</v>
      </c>
      <c r="M71" s="26">
        <v>1210799.5478000001</v>
      </c>
      <c r="N71" s="27">
        <v>0.59049817199999999</v>
      </c>
      <c r="O71" s="28">
        <v>0.36031332980000774</v>
      </c>
      <c r="P71" s="29">
        <v>0</v>
      </c>
    </row>
    <row r="72" spans="2:16" x14ac:dyDescent="0.25">
      <c r="B72" s="43" t="s">
        <v>1125</v>
      </c>
      <c r="C72" s="59">
        <v>714212.80870000005</v>
      </c>
      <c r="D72" s="57">
        <v>714212.80870000005</v>
      </c>
      <c r="E72" s="23">
        <v>413.155310246</v>
      </c>
      <c r="F72" s="24">
        <f t="shared" si="6"/>
        <v>0</v>
      </c>
      <c r="G72" s="25">
        <f t="shared" si="8"/>
        <v>1</v>
      </c>
      <c r="H72" s="26">
        <v>714212.80900000001</v>
      </c>
      <c r="I72" s="27">
        <v>3600</v>
      </c>
      <c r="J72" s="28">
        <f t="shared" si="7"/>
        <v>4.2004281131226154E-10</v>
      </c>
      <c r="K72" s="29">
        <f t="shared" si="9"/>
        <v>1</v>
      </c>
      <c r="L72" s="62">
        <v>0.25</v>
      </c>
      <c r="M72" s="26">
        <v>1080298.0375000001</v>
      </c>
      <c r="N72" s="27">
        <v>0.99297751300000003</v>
      </c>
      <c r="O72" s="28">
        <v>0.51257163738962219</v>
      </c>
      <c r="P72" s="29">
        <v>0</v>
      </c>
    </row>
    <row r="73" spans="2:16" x14ac:dyDescent="0.25">
      <c r="B73" s="43" t="s">
        <v>1126</v>
      </c>
      <c r="C73" s="59">
        <v>651366.05310000002</v>
      </c>
      <c r="D73" s="57">
        <v>651366.05310000002</v>
      </c>
      <c r="E73" s="23">
        <v>384.52071719999998</v>
      </c>
      <c r="F73" s="24">
        <f t="shared" si="6"/>
        <v>0</v>
      </c>
      <c r="G73" s="25">
        <f t="shared" si="8"/>
        <v>1</v>
      </c>
      <c r="H73" s="26">
        <v>725509.51100000006</v>
      </c>
      <c r="I73" s="27">
        <v>3600</v>
      </c>
      <c r="J73" s="28">
        <f t="shared" si="7"/>
        <v>0.11382763585411669</v>
      </c>
      <c r="K73" s="29">
        <f t="shared" si="9"/>
        <v>0</v>
      </c>
      <c r="L73" s="62">
        <v>0.35399999999999998</v>
      </c>
      <c r="M73" s="26">
        <v>1114408.3200999999</v>
      </c>
      <c r="N73" s="27">
        <v>0.96577712599999999</v>
      </c>
      <c r="O73" s="28">
        <v>0.71087872141367492</v>
      </c>
      <c r="P73" s="29">
        <v>0</v>
      </c>
    </row>
    <row r="74" spans="2:16" x14ac:dyDescent="0.25">
      <c r="B74" s="43" t="s">
        <v>1127</v>
      </c>
      <c r="C74" s="59">
        <v>605299.89639999997</v>
      </c>
      <c r="D74" s="57">
        <v>605299.89639999997</v>
      </c>
      <c r="E74" s="23">
        <v>408.81092831299998</v>
      </c>
      <c r="F74" s="24">
        <f t="shared" si="6"/>
        <v>0</v>
      </c>
      <c r="G74" s="25">
        <f t="shared" si="8"/>
        <v>1</v>
      </c>
      <c r="H74" s="26">
        <v>652760.49</v>
      </c>
      <c r="I74" s="27">
        <v>3600</v>
      </c>
      <c r="J74" s="28">
        <f t="shared" si="7"/>
        <v>7.840839537933221E-2</v>
      </c>
      <c r="K74" s="29">
        <f t="shared" si="9"/>
        <v>0</v>
      </c>
      <c r="L74" s="62">
        <v>0.32</v>
      </c>
      <c r="M74" s="26">
        <v>912823.38970000006</v>
      </c>
      <c r="N74" s="27">
        <v>0.92207854199999995</v>
      </c>
      <c r="O74" s="28">
        <v>0.5080514553678025</v>
      </c>
      <c r="P74" s="29">
        <v>0</v>
      </c>
    </row>
    <row r="75" spans="2:16" x14ac:dyDescent="0.25">
      <c r="B75" s="43" t="s">
        <v>1128</v>
      </c>
      <c r="C75" s="59">
        <v>1282733.6871</v>
      </c>
      <c r="D75" s="57">
        <v>1282733.6871</v>
      </c>
      <c r="E75" s="23">
        <v>29.051189931</v>
      </c>
      <c r="F75" s="24">
        <f t="shared" si="6"/>
        <v>0</v>
      </c>
      <c r="G75" s="25">
        <f t="shared" si="8"/>
        <v>1</v>
      </c>
      <c r="H75" s="26">
        <v>1327034.8400000001</v>
      </c>
      <c r="I75" s="27">
        <v>3600</v>
      </c>
      <c r="J75" s="28">
        <f t="shared" si="7"/>
        <v>3.4536516305388378E-2</v>
      </c>
      <c r="K75" s="29">
        <f t="shared" si="9"/>
        <v>0</v>
      </c>
      <c r="L75" s="62">
        <v>0.17</v>
      </c>
      <c r="M75" s="26">
        <v>1664975.6802000001</v>
      </c>
      <c r="N75" s="27">
        <v>0.30520169400000002</v>
      </c>
      <c r="O75" s="28">
        <v>0.29799014163584608</v>
      </c>
      <c r="P75" s="29">
        <v>0</v>
      </c>
    </row>
    <row r="76" spans="2:16" x14ac:dyDescent="0.25">
      <c r="B76" s="43" t="s">
        <v>1129</v>
      </c>
      <c r="C76" s="59">
        <v>1155811.5637999999</v>
      </c>
      <c r="D76" s="57">
        <v>1155811.5637999999</v>
      </c>
      <c r="E76" s="23">
        <v>39.983242165</v>
      </c>
      <c r="F76" s="24">
        <f t="shared" si="6"/>
        <v>0</v>
      </c>
      <c r="G76" s="25">
        <f t="shared" si="8"/>
        <v>1</v>
      </c>
      <c r="H76" s="26">
        <v>1155811.564</v>
      </c>
      <c r="I76" s="27">
        <v>3600</v>
      </c>
      <c r="J76" s="28">
        <f t="shared" si="7"/>
        <v>1.7303869608058347E-10</v>
      </c>
      <c r="K76" s="29">
        <f t="shared" si="9"/>
        <v>1</v>
      </c>
      <c r="L76" s="62">
        <v>0.151</v>
      </c>
      <c r="M76" s="26">
        <v>1454904.4913999999</v>
      </c>
      <c r="N76" s="27">
        <v>0.244501465</v>
      </c>
      <c r="O76" s="28">
        <v>0.25877308807731803</v>
      </c>
      <c r="P76" s="29">
        <v>0</v>
      </c>
    </row>
    <row r="77" spans="2:16" x14ac:dyDescent="0.25">
      <c r="B77" s="43" t="s">
        <v>1130</v>
      </c>
      <c r="C77" s="59">
        <v>1005495.3047</v>
      </c>
      <c r="D77" s="57">
        <v>1005495.3047</v>
      </c>
      <c r="E77" s="23">
        <v>33.504677516999998</v>
      </c>
      <c r="F77" s="24">
        <f t="shared" si="6"/>
        <v>0</v>
      </c>
      <c r="G77" s="25">
        <f t="shared" si="8"/>
        <v>1</v>
      </c>
      <c r="H77" s="26">
        <v>1043541.35</v>
      </c>
      <c r="I77" s="27">
        <v>3600</v>
      </c>
      <c r="J77" s="28">
        <f t="shared" si="7"/>
        <v>3.7838113337934916E-2</v>
      </c>
      <c r="K77" s="29">
        <f t="shared" si="9"/>
        <v>0</v>
      </c>
      <c r="L77" s="62">
        <v>0.13500000000000001</v>
      </c>
      <c r="M77" s="26">
        <v>1265122.4909000001</v>
      </c>
      <c r="N77" s="27">
        <v>0.27483033499999998</v>
      </c>
      <c r="O77" s="28">
        <v>0.25820825317276108</v>
      </c>
      <c r="P77" s="29">
        <v>0</v>
      </c>
    </row>
    <row r="78" spans="2:16" x14ac:dyDescent="0.25">
      <c r="B78" s="43" t="s">
        <v>1131</v>
      </c>
      <c r="C78" s="59">
        <v>1142787.6207999999</v>
      </c>
      <c r="D78" s="57">
        <v>1142787.6207999999</v>
      </c>
      <c r="E78" s="23">
        <v>79.605096438000004</v>
      </c>
      <c r="F78" s="24">
        <f t="shared" si="6"/>
        <v>0</v>
      </c>
      <c r="G78" s="25">
        <f t="shared" si="8"/>
        <v>1</v>
      </c>
      <c r="H78" s="26">
        <v>1160669.75</v>
      </c>
      <c r="I78" s="27">
        <v>3600</v>
      </c>
      <c r="J78" s="28">
        <f t="shared" si="7"/>
        <v>1.5647814934748622E-2</v>
      </c>
      <c r="K78" s="29">
        <f t="shared" si="9"/>
        <v>0</v>
      </c>
      <c r="L78" s="62">
        <v>0.20399999999999999</v>
      </c>
      <c r="M78" s="26">
        <v>1488608.1225000001</v>
      </c>
      <c r="N78" s="27">
        <v>0.33730862299999997</v>
      </c>
      <c r="O78" s="28">
        <v>0.30261134738046175</v>
      </c>
      <c r="P78" s="29">
        <v>0</v>
      </c>
    </row>
    <row r="79" spans="2:16" x14ac:dyDescent="0.25">
      <c r="B79" s="43" t="s">
        <v>1132</v>
      </c>
      <c r="C79" s="59">
        <v>1019627.42</v>
      </c>
      <c r="D79" s="57">
        <v>1025877.6854</v>
      </c>
      <c r="E79" s="23">
        <v>63.428419409</v>
      </c>
      <c r="F79" s="24">
        <f t="shared" si="6"/>
        <v>6.1299502910581952E-3</v>
      </c>
      <c r="G79" s="25">
        <f t="shared" si="8"/>
        <v>0</v>
      </c>
      <c r="H79" s="26">
        <v>1019627.42</v>
      </c>
      <c r="I79" s="27">
        <v>3600</v>
      </c>
      <c r="J79" s="28">
        <f t="shared" si="7"/>
        <v>0</v>
      </c>
      <c r="K79" s="29">
        <f t="shared" si="9"/>
        <v>1</v>
      </c>
      <c r="L79" s="62">
        <v>0.20499999999999999</v>
      </c>
      <c r="M79" s="26">
        <v>1408879.2603</v>
      </c>
      <c r="N79" s="27">
        <v>0.31549494099999997</v>
      </c>
      <c r="O79" s="28">
        <v>0.38175889806886509</v>
      </c>
      <c r="P79" s="29">
        <v>0</v>
      </c>
    </row>
    <row r="80" spans="2:16" x14ac:dyDescent="0.25">
      <c r="B80" s="43" t="s">
        <v>1133</v>
      </c>
      <c r="C80" s="59">
        <v>930909.23759999999</v>
      </c>
      <c r="D80" s="57">
        <v>930909.23759999999</v>
      </c>
      <c r="E80" s="23">
        <v>58.220925250000001</v>
      </c>
      <c r="F80" s="24">
        <f t="shared" si="6"/>
        <v>0</v>
      </c>
      <c r="G80" s="25">
        <f t="shared" si="8"/>
        <v>1</v>
      </c>
      <c r="H80" s="26">
        <v>968959.07499999995</v>
      </c>
      <c r="I80" s="27">
        <v>3600</v>
      </c>
      <c r="J80" s="28">
        <f t="shared" si="7"/>
        <v>4.087384232870777E-2</v>
      </c>
      <c r="K80" s="29">
        <f t="shared" si="9"/>
        <v>0</v>
      </c>
      <c r="L80" s="62">
        <v>0.221</v>
      </c>
      <c r="M80" s="26">
        <v>1151634.4195000001</v>
      </c>
      <c r="N80" s="27">
        <v>0.40394918099999999</v>
      </c>
      <c r="O80" s="28">
        <v>0.23710709163124979</v>
      </c>
      <c r="P80" s="29">
        <v>0</v>
      </c>
    </row>
    <row r="81" spans="2:16" x14ac:dyDescent="0.25">
      <c r="B81" s="43" t="s">
        <v>1134</v>
      </c>
      <c r="C81" s="59">
        <v>1045382.801</v>
      </c>
      <c r="D81" s="57">
        <v>1045382.801</v>
      </c>
      <c r="E81" s="23">
        <v>100.80749700299999</v>
      </c>
      <c r="F81" s="24">
        <f t="shared" si="6"/>
        <v>0</v>
      </c>
      <c r="G81" s="25">
        <f t="shared" si="8"/>
        <v>1</v>
      </c>
      <c r="H81" s="26">
        <v>1065001.45</v>
      </c>
      <c r="I81" s="27">
        <v>3600</v>
      </c>
      <c r="J81" s="28">
        <f t="shared" si="7"/>
        <v>1.8766952145408383E-2</v>
      </c>
      <c r="K81" s="29">
        <f t="shared" si="9"/>
        <v>0</v>
      </c>
      <c r="L81" s="62">
        <v>0.23799999999999999</v>
      </c>
      <c r="M81" s="26">
        <v>1411215.4482</v>
      </c>
      <c r="N81" s="27">
        <v>0.47056293199999999</v>
      </c>
      <c r="O81" s="28">
        <v>0.34995089535627438</v>
      </c>
      <c r="P81" s="29">
        <v>0</v>
      </c>
    </row>
    <row r="82" spans="2:16" x14ac:dyDescent="0.25">
      <c r="B82" s="43" t="s">
        <v>1135</v>
      </c>
      <c r="C82" s="59">
        <v>913440.71109999996</v>
      </c>
      <c r="D82" s="57">
        <v>913440.71109999996</v>
      </c>
      <c r="E82" s="23">
        <v>98.783885818000002</v>
      </c>
      <c r="F82" s="24">
        <f t="shared" si="6"/>
        <v>0</v>
      </c>
      <c r="G82" s="25">
        <f t="shared" si="8"/>
        <v>1</v>
      </c>
      <c r="H82" s="26">
        <v>1011109.34</v>
      </c>
      <c r="I82" s="27">
        <v>3600</v>
      </c>
      <c r="J82" s="28">
        <f t="shared" si="7"/>
        <v>0.10692388429062215</v>
      </c>
      <c r="K82" s="29">
        <f t="shared" si="9"/>
        <v>0</v>
      </c>
      <c r="L82" s="62">
        <v>0.29499999999999998</v>
      </c>
      <c r="M82" s="26">
        <v>1226778.9375</v>
      </c>
      <c r="N82" s="27">
        <v>0.40023297299999999</v>
      </c>
      <c r="O82" s="28">
        <v>0.34303072174511062</v>
      </c>
      <c r="P82" s="29">
        <v>0</v>
      </c>
    </row>
    <row r="83" spans="2:16" x14ac:dyDescent="0.25">
      <c r="B83" s="43" t="s">
        <v>1136</v>
      </c>
      <c r="C83" s="59">
        <v>852140.429</v>
      </c>
      <c r="D83" s="57">
        <v>852140.42920000001</v>
      </c>
      <c r="E83" s="23">
        <v>110.513950962</v>
      </c>
      <c r="F83" s="24">
        <f t="shared" si="6"/>
        <v>2.347031107703614E-10</v>
      </c>
      <c r="G83" s="25">
        <f t="shared" si="8"/>
        <v>1</v>
      </c>
      <c r="H83" s="26">
        <v>852140.429</v>
      </c>
      <c r="I83" s="27">
        <v>3600</v>
      </c>
      <c r="J83" s="28">
        <f t="shared" si="7"/>
        <v>0</v>
      </c>
      <c r="K83" s="29">
        <f t="shared" si="9"/>
        <v>1</v>
      </c>
      <c r="L83" s="62">
        <v>0.223</v>
      </c>
      <c r="M83" s="26">
        <v>1075777.7808000001</v>
      </c>
      <c r="N83" s="27">
        <v>0.38285264499999999</v>
      </c>
      <c r="O83" s="28">
        <v>0.26244189829420717</v>
      </c>
      <c r="P83" s="29">
        <v>0</v>
      </c>
    </row>
    <row r="84" spans="2:16" x14ac:dyDescent="0.25">
      <c r="B84" s="43" t="s">
        <v>1137</v>
      </c>
      <c r="C84" s="59">
        <v>932635.61010000005</v>
      </c>
      <c r="D84" s="57">
        <v>932635.61010000005</v>
      </c>
      <c r="E84" s="23">
        <v>130.50342330000001</v>
      </c>
      <c r="F84" s="24">
        <f t="shared" si="6"/>
        <v>0</v>
      </c>
      <c r="G84" s="25">
        <f t="shared" si="8"/>
        <v>1</v>
      </c>
      <c r="H84" s="26">
        <v>980037.64099999995</v>
      </c>
      <c r="I84" s="27">
        <v>3600</v>
      </c>
      <c r="J84" s="28">
        <f t="shared" si="7"/>
        <v>5.0825885679957369E-2</v>
      </c>
      <c r="K84" s="29">
        <f t="shared" si="9"/>
        <v>0</v>
      </c>
      <c r="L84" s="62">
        <v>0.252</v>
      </c>
      <c r="M84" s="26">
        <v>1351909.1831</v>
      </c>
      <c r="N84" s="27">
        <v>0.46029589599999998</v>
      </c>
      <c r="O84" s="28">
        <v>0.44955775702693163</v>
      </c>
      <c r="P84" s="29">
        <v>0</v>
      </c>
    </row>
    <row r="85" spans="2:16" x14ac:dyDescent="0.25">
      <c r="B85" s="43" t="s">
        <v>1138</v>
      </c>
      <c r="C85" s="59">
        <v>841785.79460000002</v>
      </c>
      <c r="D85" s="57">
        <v>841785.79460000002</v>
      </c>
      <c r="E85" s="23">
        <v>187.86653792199999</v>
      </c>
      <c r="F85" s="24">
        <f t="shared" si="6"/>
        <v>0</v>
      </c>
      <c r="G85" s="25">
        <f t="shared" si="8"/>
        <v>1</v>
      </c>
      <c r="H85" s="26">
        <v>847229.87</v>
      </c>
      <c r="I85" s="27">
        <v>3600</v>
      </c>
      <c r="J85" s="28">
        <f t="shared" si="7"/>
        <v>6.4672930274225996E-3</v>
      </c>
      <c r="K85" s="29">
        <f t="shared" si="9"/>
        <v>0</v>
      </c>
      <c r="L85" s="62">
        <v>0.24199999999999999</v>
      </c>
      <c r="M85" s="26">
        <v>1144251.801</v>
      </c>
      <c r="N85" s="27">
        <v>0.60756781599999998</v>
      </c>
      <c r="O85" s="28">
        <v>0.35931469542524869</v>
      </c>
      <c r="P85" s="29">
        <v>0</v>
      </c>
    </row>
    <row r="86" spans="2:16" x14ac:dyDescent="0.25">
      <c r="B86" s="43" t="s">
        <v>1139</v>
      </c>
      <c r="C86" s="59">
        <v>775947.66570000001</v>
      </c>
      <c r="D86" s="57">
        <v>775947.66570000001</v>
      </c>
      <c r="E86" s="23">
        <v>211.04145356500001</v>
      </c>
      <c r="F86" s="24">
        <f t="shared" si="6"/>
        <v>0</v>
      </c>
      <c r="G86" s="25">
        <f t="shared" si="8"/>
        <v>1</v>
      </c>
      <c r="H86" s="26">
        <v>775947.66599999997</v>
      </c>
      <c r="I86" s="27">
        <v>3600</v>
      </c>
      <c r="J86" s="28">
        <f t="shared" si="7"/>
        <v>3.8662395584493149E-10</v>
      </c>
      <c r="K86" s="29">
        <f t="shared" si="9"/>
        <v>1</v>
      </c>
      <c r="L86" s="62">
        <v>0.217</v>
      </c>
      <c r="M86" s="26">
        <v>1036117.1273000001</v>
      </c>
      <c r="N86" s="27">
        <v>0.48794116100000001</v>
      </c>
      <c r="O86" s="28">
        <v>0.3352925372425668</v>
      </c>
      <c r="P86" s="29">
        <v>0</v>
      </c>
    </row>
    <row r="87" spans="2:16" x14ac:dyDescent="0.25">
      <c r="B87" s="43" t="s">
        <v>1140</v>
      </c>
      <c r="C87" s="59">
        <v>598066.47329999995</v>
      </c>
      <c r="D87" s="57">
        <v>598066.47329999995</v>
      </c>
      <c r="E87" s="23">
        <v>545.87655888699999</v>
      </c>
      <c r="F87" s="24">
        <f t="shared" si="6"/>
        <v>0</v>
      </c>
      <c r="G87" s="25">
        <f t="shared" si="8"/>
        <v>1</v>
      </c>
      <c r="H87" s="26">
        <v>728205.70299999998</v>
      </c>
      <c r="I87" s="27">
        <v>3600</v>
      </c>
      <c r="J87" s="28">
        <f t="shared" si="7"/>
        <v>0.21759994166186949</v>
      </c>
      <c r="K87" s="29">
        <f t="shared" si="9"/>
        <v>0</v>
      </c>
      <c r="L87" s="62">
        <v>0.40200000000000002</v>
      </c>
      <c r="M87" s="26">
        <v>1038507.948</v>
      </c>
      <c r="N87" s="27">
        <v>0.88204342800000002</v>
      </c>
      <c r="O87" s="28">
        <v>0.73644234272110309</v>
      </c>
      <c r="P87" s="29">
        <v>0</v>
      </c>
    </row>
    <row r="88" spans="2:16" x14ac:dyDescent="0.25">
      <c r="B88" s="43" t="s">
        <v>1141</v>
      </c>
      <c r="C88" s="59">
        <v>691297.42059999995</v>
      </c>
      <c r="D88" s="57">
        <v>691297.42059999995</v>
      </c>
      <c r="E88" s="23">
        <v>527.02938571699997</v>
      </c>
      <c r="F88" s="24">
        <f t="shared" si="6"/>
        <v>0</v>
      </c>
      <c r="G88" s="25">
        <f t="shared" si="8"/>
        <v>1</v>
      </c>
      <c r="H88" s="26">
        <v>770321.01300000004</v>
      </c>
      <c r="I88" s="27">
        <v>3600</v>
      </c>
      <c r="J88" s="28">
        <f t="shared" si="7"/>
        <v>0.1143120023960351</v>
      </c>
      <c r="K88" s="29">
        <f t="shared" si="9"/>
        <v>0</v>
      </c>
      <c r="L88" s="62">
        <v>0.371</v>
      </c>
      <c r="M88" s="26">
        <v>1046843.3762000001</v>
      </c>
      <c r="N88" s="27">
        <v>1.1436676139999999</v>
      </c>
      <c r="O88" s="28">
        <v>0.51431691339367358</v>
      </c>
      <c r="P88" s="29">
        <v>0</v>
      </c>
    </row>
    <row r="89" spans="2:16" x14ac:dyDescent="0.25">
      <c r="B89" s="43" t="s">
        <v>1142</v>
      </c>
      <c r="C89" s="59">
        <v>759678.55599999998</v>
      </c>
      <c r="D89" s="57">
        <v>759678.55599999998</v>
      </c>
      <c r="E89" s="23">
        <v>603.39580140099997</v>
      </c>
      <c r="F89" s="24">
        <f t="shared" si="6"/>
        <v>0</v>
      </c>
      <c r="G89" s="25">
        <f t="shared" si="8"/>
        <v>1</v>
      </c>
      <c r="H89" s="26">
        <v>811434.71400000004</v>
      </c>
      <c r="I89" s="27">
        <v>3600</v>
      </c>
      <c r="J89" s="28">
        <f t="shared" si="7"/>
        <v>6.8129023244405035E-2</v>
      </c>
      <c r="K89" s="29">
        <f t="shared" si="9"/>
        <v>0</v>
      </c>
      <c r="L89" s="62">
        <v>0.35099999999999998</v>
      </c>
      <c r="M89" s="26">
        <v>1067129.3685000001</v>
      </c>
      <c r="N89" s="27">
        <v>0.87564802399999997</v>
      </c>
      <c r="O89" s="28">
        <v>0.4047117166487455</v>
      </c>
      <c r="P89" s="29">
        <v>0</v>
      </c>
    </row>
    <row r="90" spans="2:16" x14ac:dyDescent="0.25">
      <c r="B90" s="43" t="s">
        <v>1143</v>
      </c>
      <c r="C90" s="59">
        <v>1121196.6624</v>
      </c>
      <c r="D90" s="57">
        <v>1121196.6624</v>
      </c>
      <c r="E90" s="23">
        <v>32.404879907999998</v>
      </c>
      <c r="F90" s="24">
        <f t="shared" si="6"/>
        <v>0</v>
      </c>
      <c r="G90" s="25">
        <f t="shared" si="8"/>
        <v>1</v>
      </c>
      <c r="H90" s="26">
        <v>1221551.99</v>
      </c>
      <c r="I90" s="27">
        <v>3600</v>
      </c>
      <c r="J90" s="28">
        <f t="shared" si="7"/>
        <v>8.9507337084987704E-2</v>
      </c>
      <c r="K90" s="29">
        <f t="shared" si="9"/>
        <v>0</v>
      </c>
      <c r="L90" s="62">
        <v>0.21299999999999999</v>
      </c>
      <c r="M90" s="26">
        <v>1357289.12</v>
      </c>
      <c r="N90" s="27">
        <v>0.24209415200000001</v>
      </c>
      <c r="O90" s="28">
        <v>0.21057185194845982</v>
      </c>
      <c r="P90" s="29">
        <v>0</v>
      </c>
    </row>
    <row r="91" spans="2:16" x14ac:dyDescent="0.25">
      <c r="B91" s="43" t="s">
        <v>1144</v>
      </c>
      <c r="C91" s="59">
        <v>1118118.6587</v>
      </c>
      <c r="D91" s="57">
        <v>1118118.6587</v>
      </c>
      <c r="E91" s="23">
        <v>33.228695440000003</v>
      </c>
      <c r="F91" s="24">
        <f t="shared" si="6"/>
        <v>0</v>
      </c>
      <c r="G91" s="25">
        <f t="shared" si="8"/>
        <v>1</v>
      </c>
      <c r="H91" s="26">
        <v>1118118.6599999999</v>
      </c>
      <c r="I91" s="27">
        <v>3600</v>
      </c>
      <c r="J91" s="28">
        <f t="shared" si="7"/>
        <v>1.1626671972679279E-9</v>
      </c>
      <c r="K91" s="29">
        <f t="shared" si="9"/>
        <v>1</v>
      </c>
      <c r="L91" s="62">
        <v>8.3199999999999996E-2</v>
      </c>
      <c r="M91" s="26">
        <v>1356552.5544</v>
      </c>
      <c r="N91" s="27">
        <v>0.20950170100000001</v>
      </c>
      <c r="O91" s="28">
        <v>0.21324561024428237</v>
      </c>
      <c r="P91" s="29">
        <v>0</v>
      </c>
    </row>
    <row r="92" spans="2:16" x14ac:dyDescent="0.25">
      <c r="B92" s="43" t="s">
        <v>1145</v>
      </c>
      <c r="C92" s="59">
        <v>1328320.1968</v>
      </c>
      <c r="D92" s="57">
        <v>1328320.1968</v>
      </c>
      <c r="E92" s="23">
        <v>31.277021847</v>
      </c>
      <c r="F92" s="24">
        <f t="shared" si="6"/>
        <v>0</v>
      </c>
      <c r="G92" s="25">
        <f t="shared" si="8"/>
        <v>1</v>
      </c>
      <c r="H92" s="26">
        <v>1328320.2</v>
      </c>
      <c r="I92" s="27">
        <v>3600</v>
      </c>
      <c r="J92" s="28">
        <f t="shared" si="7"/>
        <v>2.4090576405223565E-9</v>
      </c>
      <c r="K92" s="29">
        <f t="shared" si="9"/>
        <v>1</v>
      </c>
      <c r="L92" s="62">
        <v>0.14499999999999999</v>
      </c>
      <c r="M92" s="26">
        <v>1589725.0806</v>
      </c>
      <c r="N92" s="27">
        <v>0.181969031</v>
      </c>
      <c r="O92" s="28">
        <v>0.19679357765525166</v>
      </c>
      <c r="P92" s="29">
        <v>0</v>
      </c>
    </row>
    <row r="93" spans="2:16" x14ac:dyDescent="0.25">
      <c r="B93" s="43" t="s">
        <v>1146</v>
      </c>
      <c r="C93" s="59">
        <v>1010803.8553000001</v>
      </c>
      <c r="D93" s="57">
        <v>1010803.8553000001</v>
      </c>
      <c r="E93" s="23">
        <v>54.138532036000001</v>
      </c>
      <c r="F93" s="24">
        <f t="shared" si="6"/>
        <v>0</v>
      </c>
      <c r="G93" s="25">
        <f t="shared" si="8"/>
        <v>1</v>
      </c>
      <c r="H93" s="26">
        <v>1010803.86</v>
      </c>
      <c r="I93" s="27">
        <v>3600</v>
      </c>
      <c r="J93" s="28">
        <f t="shared" si="7"/>
        <v>4.6497645488350332E-9</v>
      </c>
      <c r="K93" s="29">
        <f t="shared" si="9"/>
        <v>1</v>
      </c>
      <c r="L93" s="62">
        <v>0.21099999999999999</v>
      </c>
      <c r="M93" s="26">
        <v>1256729.165</v>
      </c>
      <c r="N93" s="27">
        <v>0.298888985</v>
      </c>
      <c r="O93" s="28">
        <v>0.24329676663828209</v>
      </c>
      <c r="P93" s="29">
        <v>0</v>
      </c>
    </row>
    <row r="94" spans="2:16" x14ac:dyDescent="0.25">
      <c r="B94" s="43" t="s">
        <v>1147</v>
      </c>
      <c r="C94" s="59">
        <v>999338.799</v>
      </c>
      <c r="D94" s="57">
        <v>999338.79929999996</v>
      </c>
      <c r="E94" s="23">
        <v>66.074018999000003</v>
      </c>
      <c r="F94" s="24">
        <f t="shared" si="6"/>
        <v>3.0019844755529647E-10</v>
      </c>
      <c r="G94" s="25">
        <f t="shared" si="8"/>
        <v>1</v>
      </c>
      <c r="H94" s="26">
        <v>999338.799</v>
      </c>
      <c r="I94" s="27">
        <v>3600</v>
      </c>
      <c r="J94" s="28">
        <f t="shared" si="7"/>
        <v>0</v>
      </c>
      <c r="K94" s="29">
        <f t="shared" si="9"/>
        <v>1</v>
      </c>
      <c r="L94" s="62">
        <v>0.14699999999999999</v>
      </c>
      <c r="M94" s="26">
        <v>1301231.7083999999</v>
      </c>
      <c r="N94" s="27">
        <v>0.30300329399999998</v>
      </c>
      <c r="O94" s="28">
        <v>0.30209265336449714</v>
      </c>
      <c r="P94" s="29">
        <v>0</v>
      </c>
    </row>
    <row r="95" spans="2:16" x14ac:dyDescent="0.25">
      <c r="B95" s="43" t="s">
        <v>1148</v>
      </c>
      <c r="C95" s="59">
        <v>1194154.2482</v>
      </c>
      <c r="D95" s="57">
        <v>1194154.2482</v>
      </c>
      <c r="E95" s="23">
        <v>60.265129338999998</v>
      </c>
      <c r="F95" s="24">
        <f t="shared" si="6"/>
        <v>0</v>
      </c>
      <c r="G95" s="25">
        <f t="shared" si="8"/>
        <v>1</v>
      </c>
      <c r="H95" s="26">
        <v>1330627.3799999999</v>
      </c>
      <c r="I95" s="27">
        <v>3600</v>
      </c>
      <c r="J95" s="28">
        <f t="shared" si="7"/>
        <v>0.11428434141210121</v>
      </c>
      <c r="K95" s="29">
        <f t="shared" si="9"/>
        <v>0</v>
      </c>
      <c r="L95" s="62">
        <v>0.29699999999999999</v>
      </c>
      <c r="M95" s="26">
        <v>1538571.9521000001</v>
      </c>
      <c r="N95" s="27">
        <v>0.27944913300000002</v>
      </c>
      <c r="O95" s="28">
        <v>0.28841977861667006</v>
      </c>
      <c r="P95" s="29">
        <v>0</v>
      </c>
    </row>
    <row r="96" spans="2:16" x14ac:dyDescent="0.25">
      <c r="B96" s="43" t="s">
        <v>1149</v>
      </c>
      <c r="C96" s="59">
        <v>894227.13809999998</v>
      </c>
      <c r="D96" s="57">
        <v>894227.13809999998</v>
      </c>
      <c r="E96" s="23">
        <v>100.034213153</v>
      </c>
      <c r="F96" s="24">
        <f t="shared" si="6"/>
        <v>0</v>
      </c>
      <c r="G96" s="25">
        <f t="shared" si="8"/>
        <v>1</v>
      </c>
      <c r="H96" s="26">
        <v>986363.95299999998</v>
      </c>
      <c r="I96" s="27">
        <v>3600</v>
      </c>
      <c r="J96" s="28">
        <f t="shared" si="7"/>
        <v>0.10303513612410238</v>
      </c>
      <c r="K96" s="29">
        <f t="shared" si="9"/>
        <v>0</v>
      </c>
      <c r="L96" s="62">
        <v>0.29499999999999998</v>
      </c>
      <c r="M96" s="26">
        <v>1248663.5958</v>
      </c>
      <c r="N96" s="27">
        <v>0.39053188100000003</v>
      </c>
      <c r="O96" s="28">
        <v>0.39636065894073097</v>
      </c>
      <c r="P96" s="29">
        <v>0</v>
      </c>
    </row>
    <row r="97" spans="2:16" x14ac:dyDescent="0.25">
      <c r="B97" s="43" t="s">
        <v>1150</v>
      </c>
      <c r="C97" s="59">
        <v>932129.35019999999</v>
      </c>
      <c r="D97" s="57">
        <v>932129.35019999999</v>
      </c>
      <c r="E97" s="23">
        <v>142.088516336</v>
      </c>
      <c r="F97" s="24">
        <f t="shared" si="6"/>
        <v>0</v>
      </c>
      <c r="G97" s="25">
        <f t="shared" si="8"/>
        <v>1</v>
      </c>
      <c r="H97" s="26">
        <v>975635.05</v>
      </c>
      <c r="I97" s="27">
        <v>3600</v>
      </c>
      <c r="J97" s="28">
        <f t="shared" si="7"/>
        <v>4.6673457702694772E-2</v>
      </c>
      <c r="K97" s="29">
        <f t="shared" si="9"/>
        <v>0</v>
      </c>
      <c r="L97" s="62">
        <v>0.23599999999999999</v>
      </c>
      <c r="M97" s="26">
        <v>1228718.8566999999</v>
      </c>
      <c r="N97" s="27">
        <v>0.43198961000000002</v>
      </c>
      <c r="O97" s="28">
        <v>0.3181849240519708</v>
      </c>
      <c r="P97" s="29">
        <v>0</v>
      </c>
    </row>
    <row r="98" spans="2:16" x14ac:dyDescent="0.25">
      <c r="B98" s="43" t="s">
        <v>1151</v>
      </c>
      <c r="C98" s="59">
        <v>1066841.73</v>
      </c>
      <c r="D98" s="57">
        <v>1066841.7308</v>
      </c>
      <c r="E98" s="23">
        <v>97.206193870000007</v>
      </c>
      <c r="F98" s="24">
        <f t="shared" si="6"/>
        <v>7.4987696440967028E-10</v>
      </c>
      <c r="G98" s="25">
        <f t="shared" si="8"/>
        <v>1</v>
      </c>
      <c r="H98" s="26">
        <v>1066841.73</v>
      </c>
      <c r="I98" s="27">
        <v>3600</v>
      </c>
      <c r="J98" s="28">
        <f t="shared" si="7"/>
        <v>0</v>
      </c>
      <c r="K98" s="29">
        <f t="shared" si="9"/>
        <v>1</v>
      </c>
      <c r="L98" s="62">
        <v>0.23499999999999999</v>
      </c>
      <c r="M98" s="26">
        <v>1397310.7131000001</v>
      </c>
      <c r="N98" s="27">
        <v>0.66439629600000005</v>
      </c>
      <c r="O98" s="28">
        <v>0.30976383263523077</v>
      </c>
      <c r="P98" s="29">
        <v>0</v>
      </c>
    </row>
    <row r="99" spans="2:16" x14ac:dyDescent="0.25">
      <c r="B99" s="43" t="s">
        <v>1152</v>
      </c>
      <c r="C99" s="59">
        <v>816745.06790000002</v>
      </c>
      <c r="D99" s="57">
        <v>816745.06790000002</v>
      </c>
      <c r="E99" s="23">
        <v>127.26951811799999</v>
      </c>
      <c r="F99" s="24">
        <f t="shared" si="6"/>
        <v>0</v>
      </c>
      <c r="G99" s="25">
        <f t="shared" si="8"/>
        <v>1</v>
      </c>
      <c r="H99" s="26">
        <v>946243.88100000005</v>
      </c>
      <c r="I99" s="27">
        <v>3600</v>
      </c>
      <c r="J99" s="28">
        <f t="shared" si="7"/>
        <v>0.15855475372868183</v>
      </c>
      <c r="K99" s="29">
        <f t="shared" si="9"/>
        <v>0</v>
      </c>
      <c r="L99" s="62">
        <v>0.34200000000000003</v>
      </c>
      <c r="M99" s="26">
        <v>1214480.3858</v>
      </c>
      <c r="N99" s="27">
        <v>0.51221787699999999</v>
      </c>
      <c r="O99" s="28">
        <v>0.48697608780503543</v>
      </c>
      <c r="P99" s="29">
        <v>0</v>
      </c>
    </row>
    <row r="100" spans="2:16" x14ac:dyDescent="0.25">
      <c r="B100" s="43" t="s">
        <v>1153</v>
      </c>
      <c r="C100" s="59">
        <v>902748.74300000002</v>
      </c>
      <c r="D100" s="57">
        <v>902748.74320000003</v>
      </c>
      <c r="E100" s="23">
        <v>137.14935213000001</v>
      </c>
      <c r="F100" s="24">
        <f t="shared" si="6"/>
        <v>2.2154559732185666E-10</v>
      </c>
      <c r="G100" s="25">
        <f t="shared" si="8"/>
        <v>1</v>
      </c>
      <c r="H100" s="26">
        <v>902748.74300000002</v>
      </c>
      <c r="I100" s="27">
        <v>3600</v>
      </c>
      <c r="J100" s="28">
        <f t="shared" si="7"/>
        <v>0</v>
      </c>
      <c r="K100" s="29">
        <f t="shared" si="9"/>
        <v>1</v>
      </c>
      <c r="L100" s="62">
        <v>0.254</v>
      </c>
      <c r="M100" s="26">
        <v>1226737.3779</v>
      </c>
      <c r="N100" s="27">
        <v>0.54393008099999995</v>
      </c>
      <c r="O100" s="28">
        <v>0.3588912611756469</v>
      </c>
      <c r="P100" s="29">
        <v>0</v>
      </c>
    </row>
    <row r="101" spans="2:16" ht="15.75" thickBot="1" x14ac:dyDescent="0.3">
      <c r="B101" s="44" t="s">
        <v>1154</v>
      </c>
      <c r="C101" s="59">
        <v>990969.21120000002</v>
      </c>
      <c r="D101" s="57">
        <v>990969.21120000002</v>
      </c>
      <c r="E101" s="23">
        <v>115.850550982</v>
      </c>
      <c r="F101" s="24">
        <f t="shared" si="6"/>
        <v>0</v>
      </c>
      <c r="G101" s="25">
        <f t="shared" si="8"/>
        <v>1</v>
      </c>
      <c r="H101" s="26">
        <v>1014851.6</v>
      </c>
      <c r="I101" s="27">
        <v>3600</v>
      </c>
      <c r="J101" s="28">
        <f t="shared" si="7"/>
        <v>2.4100031090854901E-2</v>
      </c>
      <c r="K101" s="29">
        <f t="shared" si="9"/>
        <v>0</v>
      </c>
      <c r="L101" s="62">
        <v>0.26900000000000002</v>
      </c>
      <c r="M101" s="26">
        <v>1264844.5464999999</v>
      </c>
      <c r="N101" s="27">
        <v>0.47073687400000003</v>
      </c>
      <c r="O101" s="28">
        <v>0.27637118510307146</v>
      </c>
      <c r="P101" s="29">
        <v>0</v>
      </c>
    </row>
    <row r="102" spans="2:16" ht="15.75" thickBot="1" x14ac:dyDescent="0.3">
      <c r="D102" s="58">
        <f t="shared" ref="D102:F102" si="10">AVERAGE(D57:D101)</f>
        <v>943254.88520666654</v>
      </c>
      <c r="E102" s="35">
        <f t="shared" si="10"/>
        <v>159.3897620008444</v>
      </c>
      <c r="F102" s="53">
        <f t="shared" si="10"/>
        <v>1.362211833230996E-4</v>
      </c>
      <c r="G102" s="37">
        <f>SUM(G57:G101)</f>
        <v>44</v>
      </c>
      <c r="H102" s="38">
        <f>AVERAGE(H57:H101)</f>
        <v>981851.37642222247</v>
      </c>
      <c r="I102" s="38">
        <f>AVERAGE(I57:I101)</f>
        <v>3600</v>
      </c>
      <c r="J102" s="54">
        <f>AVERAGE(J57:J101)</f>
        <v>4.4671668518286911E-2</v>
      </c>
      <c r="K102" s="40">
        <f>SUM(K57:K101)</f>
        <v>15</v>
      </c>
      <c r="L102" s="63">
        <f t="shared" ref="L102" si="11">AVERAGE(L57:L101)</f>
        <v>0.24958222222222218</v>
      </c>
      <c r="M102" s="38">
        <v>1272752.4985288882</v>
      </c>
      <c r="N102" s="38">
        <v>0.51148708651111119</v>
      </c>
      <c r="O102" s="54">
        <v>0.36927100293418469</v>
      </c>
      <c r="P102" s="4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835E-F667-479F-B65C-A971F173876B}">
  <dimension ref="B2:O160"/>
  <sheetViews>
    <sheetView topLeftCell="B28" zoomScale="95" zoomScaleNormal="95" workbookViewId="0">
      <selection activeCell="E153" sqref="E153"/>
    </sheetView>
  </sheetViews>
  <sheetFormatPr baseColWidth="10" defaultRowHeight="15" x14ac:dyDescent="0.25"/>
  <cols>
    <col min="2" max="2" width="38.28515625" bestFit="1" customWidth="1"/>
    <col min="3" max="4" width="12.140625" bestFit="1" customWidth="1"/>
    <col min="12" max="12" width="13.140625" customWidth="1"/>
  </cols>
  <sheetData>
    <row r="2" spans="2:15" ht="15.75" thickBot="1" x14ac:dyDescent="0.3"/>
    <row r="3" spans="2:15" x14ac:dyDescent="0.25">
      <c r="B3" s="1"/>
      <c r="C3" s="2" t="s">
        <v>1109</v>
      </c>
      <c r="D3" s="4" t="s">
        <v>126</v>
      </c>
      <c r="E3" s="5"/>
      <c r="F3" s="5"/>
      <c r="G3" s="6"/>
      <c r="H3" s="7" t="s">
        <v>125</v>
      </c>
      <c r="I3" s="8"/>
      <c r="J3" s="8"/>
      <c r="K3" s="9"/>
      <c r="L3" s="7" t="s">
        <v>972</v>
      </c>
      <c r="M3" s="8"/>
      <c r="N3" s="8"/>
      <c r="O3" s="9"/>
    </row>
    <row r="4" spans="2:15" ht="15.75" thickBot="1" x14ac:dyDescent="0.3">
      <c r="B4" s="10"/>
      <c r="C4" s="41" t="s">
        <v>1</v>
      </c>
      <c r="D4" s="13" t="s">
        <v>1</v>
      </c>
      <c r="E4" s="14" t="s">
        <v>2</v>
      </c>
      <c r="F4" s="14" t="s">
        <v>3</v>
      </c>
      <c r="G4" s="15" t="s">
        <v>4</v>
      </c>
      <c r="H4" s="16" t="s">
        <v>1</v>
      </c>
      <c r="I4" s="17" t="s">
        <v>2</v>
      </c>
      <c r="J4" s="17" t="s">
        <v>3</v>
      </c>
      <c r="K4" s="18" t="s">
        <v>4</v>
      </c>
      <c r="L4" s="16" t="s">
        <v>1</v>
      </c>
      <c r="M4" s="17" t="s">
        <v>2</v>
      </c>
      <c r="N4" s="17" t="s">
        <v>3</v>
      </c>
      <c r="O4" s="18" t="s">
        <v>4</v>
      </c>
    </row>
    <row r="5" spans="2:15" x14ac:dyDescent="0.25">
      <c r="B5" s="52" t="s">
        <v>1201</v>
      </c>
      <c r="C5" s="30">
        <f>MIN(D5,H5)</f>
        <v>75872.622000000003</v>
      </c>
      <c r="D5" s="57">
        <v>75872.622000000003</v>
      </c>
      <c r="E5" s="23">
        <v>3611.696298804</v>
      </c>
      <c r="F5" s="24">
        <f t="shared" ref="F5:F49" si="0">(D5-C5)/C5</f>
        <v>0</v>
      </c>
      <c r="G5" s="25">
        <f>IF(F5&lt;0.000001,1,0)</f>
        <v>1</v>
      </c>
      <c r="H5" s="26" t="s">
        <v>1246</v>
      </c>
      <c r="I5" s="27" t="s">
        <v>1246</v>
      </c>
      <c r="J5" s="28" t="e">
        <f t="shared" ref="J5:J49" si="1">(H5-C5)/C5</f>
        <v>#VALUE!</v>
      </c>
      <c r="K5" s="29" t="e">
        <f>IF(J5&lt;0.000001,1,0)</f>
        <v>#VALUE!</v>
      </c>
      <c r="L5" s="26">
        <v>102171.4794</v>
      </c>
      <c r="M5" s="27">
        <v>14.599121952000001</v>
      </c>
      <c r="N5" s="28">
        <f>(L5-C5)/C5</f>
        <v>0.3466185391615963</v>
      </c>
      <c r="O5" s="29">
        <v>0</v>
      </c>
    </row>
    <row r="6" spans="2:15" x14ac:dyDescent="0.25">
      <c r="B6" s="43" t="s">
        <v>1202</v>
      </c>
      <c r="C6" s="30">
        <f t="shared" ref="C6:C49" si="2">MIN(D6,H6)</f>
        <v>78830.540099999998</v>
      </c>
      <c r="D6" s="57">
        <v>78830.540099999998</v>
      </c>
      <c r="E6" s="23">
        <v>3605.2614822529999</v>
      </c>
      <c r="F6" s="24">
        <f t="shared" si="0"/>
        <v>0</v>
      </c>
      <c r="G6" s="25">
        <f t="shared" ref="G6:G49" si="3">IF(F6&lt;0.000001,1,0)</f>
        <v>1</v>
      </c>
      <c r="H6" s="26" t="s">
        <v>1246</v>
      </c>
      <c r="I6" s="27" t="s">
        <v>1246</v>
      </c>
      <c r="J6" s="28" t="e">
        <f t="shared" si="1"/>
        <v>#VALUE!</v>
      </c>
      <c r="K6" s="29" t="e">
        <f t="shared" ref="K6:K49" si="4">IF(J6&lt;0.000001,1,0)</f>
        <v>#VALUE!</v>
      </c>
      <c r="L6" s="26">
        <v>104056.13400000001</v>
      </c>
      <c r="M6" s="27">
        <v>13.977263322000001</v>
      </c>
      <c r="N6" s="28">
        <f t="shared" ref="N6:N49" si="5">(L6-C6)/C6</f>
        <v>0.31999773016904659</v>
      </c>
      <c r="O6" s="29">
        <v>0</v>
      </c>
    </row>
    <row r="7" spans="2:15" x14ac:dyDescent="0.25">
      <c r="B7" s="43" t="s">
        <v>1203</v>
      </c>
      <c r="C7" s="30">
        <f t="shared" si="2"/>
        <v>76127.491599999994</v>
      </c>
      <c r="D7" s="57">
        <v>76127.491599999994</v>
      </c>
      <c r="E7" s="23">
        <v>3602.4696470089998</v>
      </c>
      <c r="F7" s="24">
        <f t="shared" si="0"/>
        <v>0</v>
      </c>
      <c r="G7" s="25">
        <f t="shared" si="3"/>
        <v>1</v>
      </c>
      <c r="H7" s="26" t="s">
        <v>1246</v>
      </c>
      <c r="I7" s="27" t="s">
        <v>1246</v>
      </c>
      <c r="J7" s="28" t="e">
        <f t="shared" si="1"/>
        <v>#VALUE!</v>
      </c>
      <c r="K7" s="29" t="e">
        <f t="shared" si="4"/>
        <v>#VALUE!</v>
      </c>
      <c r="L7" s="26">
        <v>96620.773100000006</v>
      </c>
      <c r="M7" s="27">
        <v>13.713793011</v>
      </c>
      <c r="N7" s="28">
        <f t="shared" si="5"/>
        <v>0.26919685739389332</v>
      </c>
      <c r="O7" s="29">
        <v>0</v>
      </c>
    </row>
    <row r="8" spans="2:15" x14ac:dyDescent="0.25">
      <c r="B8" s="43" t="s">
        <v>1204</v>
      </c>
      <c r="C8" s="30">
        <f t="shared" si="2"/>
        <v>106220.7344</v>
      </c>
      <c r="D8" s="57">
        <v>106220.7344</v>
      </c>
      <c r="E8" s="23">
        <v>513.16291652200005</v>
      </c>
      <c r="F8" s="24">
        <f t="shared" si="0"/>
        <v>0</v>
      </c>
      <c r="G8" s="25">
        <f t="shared" si="3"/>
        <v>1</v>
      </c>
      <c r="H8" s="26" t="s">
        <v>1246</v>
      </c>
      <c r="I8" s="27" t="s">
        <v>1246</v>
      </c>
      <c r="J8" s="28" t="e">
        <f t="shared" si="1"/>
        <v>#VALUE!</v>
      </c>
      <c r="K8" s="29" t="e">
        <f t="shared" si="4"/>
        <v>#VALUE!</v>
      </c>
      <c r="L8" s="26">
        <v>119748.5392</v>
      </c>
      <c r="M8" s="27">
        <v>3.8290484089999999</v>
      </c>
      <c r="N8" s="28">
        <f t="shared" si="5"/>
        <v>0.12735559470957675</v>
      </c>
      <c r="O8" s="29">
        <v>0</v>
      </c>
    </row>
    <row r="9" spans="2:15" x14ac:dyDescent="0.25">
      <c r="B9" s="43" t="s">
        <v>1205</v>
      </c>
      <c r="C9" s="30">
        <f t="shared" si="2"/>
        <v>113346.2516</v>
      </c>
      <c r="D9" s="57">
        <v>113346.2516</v>
      </c>
      <c r="E9" s="23">
        <v>540.402760177</v>
      </c>
      <c r="F9" s="24">
        <f t="shared" si="0"/>
        <v>0</v>
      </c>
      <c r="G9" s="25">
        <f t="shared" si="3"/>
        <v>1</v>
      </c>
      <c r="H9" s="26" t="s">
        <v>1246</v>
      </c>
      <c r="I9" s="27" t="s">
        <v>1246</v>
      </c>
      <c r="J9" s="28" t="e">
        <f t="shared" si="1"/>
        <v>#VALUE!</v>
      </c>
      <c r="K9" s="29" t="e">
        <f t="shared" si="4"/>
        <v>#VALUE!</v>
      </c>
      <c r="L9" s="26">
        <v>129504.7496</v>
      </c>
      <c r="M9" s="27">
        <v>3.7228197860000001</v>
      </c>
      <c r="N9" s="28">
        <f t="shared" si="5"/>
        <v>0.14255873283770765</v>
      </c>
      <c r="O9" s="29">
        <v>0</v>
      </c>
    </row>
    <row r="10" spans="2:15" x14ac:dyDescent="0.25">
      <c r="B10" s="43" t="s">
        <v>1206</v>
      </c>
      <c r="C10" s="30">
        <f t="shared" si="2"/>
        <v>110333.109</v>
      </c>
      <c r="D10" s="57">
        <v>110333.109</v>
      </c>
      <c r="E10" s="23">
        <v>447.37042430399998</v>
      </c>
      <c r="F10" s="24">
        <f t="shared" si="0"/>
        <v>0</v>
      </c>
      <c r="G10" s="25">
        <f t="shared" si="3"/>
        <v>1</v>
      </c>
      <c r="H10" s="26" t="s">
        <v>1246</v>
      </c>
      <c r="I10" s="27" t="s">
        <v>1246</v>
      </c>
      <c r="J10" s="28" t="e">
        <f t="shared" si="1"/>
        <v>#VALUE!</v>
      </c>
      <c r="K10" s="29" t="e">
        <f t="shared" si="4"/>
        <v>#VALUE!</v>
      </c>
      <c r="L10" s="26">
        <v>124489.26360000001</v>
      </c>
      <c r="M10" s="27">
        <v>8.9605273650000008</v>
      </c>
      <c r="N10" s="28">
        <f t="shared" si="5"/>
        <v>0.12830377688351019</v>
      </c>
      <c r="O10" s="29">
        <v>0</v>
      </c>
    </row>
    <row r="11" spans="2:15" x14ac:dyDescent="0.25">
      <c r="B11" s="43" t="s">
        <v>1207</v>
      </c>
      <c r="C11" s="30">
        <f t="shared" si="2"/>
        <v>98773.698399999994</v>
      </c>
      <c r="D11" s="57">
        <v>98773.698399999994</v>
      </c>
      <c r="E11" s="23">
        <v>824.67355815400003</v>
      </c>
      <c r="F11" s="24">
        <f t="shared" si="0"/>
        <v>0</v>
      </c>
      <c r="G11" s="25">
        <f t="shared" si="3"/>
        <v>1</v>
      </c>
      <c r="H11" s="26" t="s">
        <v>1246</v>
      </c>
      <c r="I11" s="27" t="s">
        <v>1246</v>
      </c>
      <c r="J11" s="28" t="e">
        <f t="shared" si="1"/>
        <v>#VALUE!</v>
      </c>
      <c r="K11" s="29" t="e">
        <f t="shared" si="4"/>
        <v>#VALUE!</v>
      </c>
      <c r="L11" s="26">
        <v>113919.1072</v>
      </c>
      <c r="M11" s="27">
        <v>4.114938263</v>
      </c>
      <c r="N11" s="28">
        <f t="shared" si="5"/>
        <v>0.15333443057549828</v>
      </c>
      <c r="O11" s="29">
        <v>0</v>
      </c>
    </row>
    <row r="12" spans="2:15" x14ac:dyDescent="0.25">
      <c r="B12" s="43" t="s">
        <v>1208</v>
      </c>
      <c r="C12" s="30">
        <f t="shared" si="2"/>
        <v>105368.568</v>
      </c>
      <c r="D12" s="57">
        <v>105368.568</v>
      </c>
      <c r="E12" s="23">
        <v>718.75816940000004</v>
      </c>
      <c r="F12" s="24">
        <f t="shared" si="0"/>
        <v>0</v>
      </c>
      <c r="G12" s="25">
        <f t="shared" si="3"/>
        <v>1</v>
      </c>
      <c r="H12" s="26" t="s">
        <v>1246</v>
      </c>
      <c r="I12" s="27" t="s">
        <v>1246</v>
      </c>
      <c r="J12" s="28" t="e">
        <f t="shared" si="1"/>
        <v>#VALUE!</v>
      </c>
      <c r="K12" s="29" t="e">
        <f t="shared" si="4"/>
        <v>#VALUE!</v>
      </c>
      <c r="L12" s="26">
        <v>123147.2772</v>
      </c>
      <c r="M12" s="27">
        <v>4.9362128140000001</v>
      </c>
      <c r="N12" s="28">
        <f t="shared" si="5"/>
        <v>0.16872877308155121</v>
      </c>
      <c r="O12" s="29">
        <v>0</v>
      </c>
    </row>
    <row r="13" spans="2:15" x14ac:dyDescent="0.25">
      <c r="B13" s="43" t="s">
        <v>1209</v>
      </c>
      <c r="C13" s="30">
        <f t="shared" si="2"/>
        <v>103475.2969</v>
      </c>
      <c r="D13" s="57">
        <v>103475.2969</v>
      </c>
      <c r="E13" s="23">
        <v>761.78095117999999</v>
      </c>
      <c r="F13" s="24">
        <f t="shared" si="0"/>
        <v>0</v>
      </c>
      <c r="G13" s="25">
        <f t="shared" si="3"/>
        <v>1</v>
      </c>
      <c r="H13" s="26" t="s">
        <v>1246</v>
      </c>
      <c r="I13" s="27" t="s">
        <v>1246</v>
      </c>
      <c r="J13" s="28" t="e">
        <f t="shared" si="1"/>
        <v>#VALUE!</v>
      </c>
      <c r="K13" s="29" t="e">
        <f t="shared" si="4"/>
        <v>#VALUE!</v>
      </c>
      <c r="L13" s="26">
        <v>120340.0248</v>
      </c>
      <c r="M13" s="27">
        <v>4.8471161230000002</v>
      </c>
      <c r="N13" s="28">
        <f t="shared" si="5"/>
        <v>0.1629831312907303</v>
      </c>
      <c r="O13" s="29">
        <v>0</v>
      </c>
    </row>
    <row r="14" spans="2:15" x14ac:dyDescent="0.25">
      <c r="B14" s="43" t="s">
        <v>1210</v>
      </c>
      <c r="C14" s="30">
        <f t="shared" si="2"/>
        <v>93351.172099999996</v>
      </c>
      <c r="D14" s="57">
        <v>93351.172099999996</v>
      </c>
      <c r="E14" s="23">
        <v>1192.896184729</v>
      </c>
      <c r="F14" s="24">
        <f t="shared" si="0"/>
        <v>0</v>
      </c>
      <c r="G14" s="25">
        <f t="shared" si="3"/>
        <v>1</v>
      </c>
      <c r="H14" s="26" t="s">
        <v>1246</v>
      </c>
      <c r="I14" s="27" t="s">
        <v>1246</v>
      </c>
      <c r="J14" s="28" t="e">
        <f t="shared" si="1"/>
        <v>#VALUE!</v>
      </c>
      <c r="K14" s="29" t="e">
        <f t="shared" si="4"/>
        <v>#VALUE!</v>
      </c>
      <c r="L14" s="26">
        <v>109242.2735</v>
      </c>
      <c r="M14" s="27">
        <v>6.1754001269999996</v>
      </c>
      <c r="N14" s="28">
        <f t="shared" si="5"/>
        <v>0.17022926485569001</v>
      </c>
      <c r="O14" s="29">
        <v>0</v>
      </c>
    </row>
    <row r="15" spans="2:15" x14ac:dyDescent="0.25">
      <c r="B15" s="43" t="s">
        <v>1211</v>
      </c>
      <c r="C15" s="30">
        <f t="shared" si="2"/>
        <v>100310.5119</v>
      </c>
      <c r="D15" s="57">
        <v>100310.5119</v>
      </c>
      <c r="E15" s="23">
        <v>1275.801533696</v>
      </c>
      <c r="F15" s="24">
        <f t="shared" si="0"/>
        <v>0</v>
      </c>
      <c r="G15" s="25">
        <f t="shared" si="3"/>
        <v>1</v>
      </c>
      <c r="H15" s="26" t="s">
        <v>1246</v>
      </c>
      <c r="I15" s="27" t="s">
        <v>1246</v>
      </c>
      <c r="J15" s="28" t="e">
        <f t="shared" si="1"/>
        <v>#VALUE!</v>
      </c>
      <c r="K15" s="29" t="e">
        <f t="shared" si="4"/>
        <v>#VALUE!</v>
      </c>
      <c r="L15" s="26">
        <v>114737.6091</v>
      </c>
      <c r="M15" s="27">
        <v>6.1749401810000002</v>
      </c>
      <c r="N15" s="28">
        <f t="shared" si="5"/>
        <v>0.14382438018442614</v>
      </c>
      <c r="O15" s="29">
        <v>0</v>
      </c>
    </row>
    <row r="16" spans="2:15" x14ac:dyDescent="0.25">
      <c r="B16" s="43" t="s">
        <v>1212</v>
      </c>
      <c r="C16" s="30">
        <f t="shared" si="2"/>
        <v>99204.180800000002</v>
      </c>
      <c r="D16" s="57">
        <v>99204.180800000002</v>
      </c>
      <c r="E16" s="23">
        <v>1386.20123947</v>
      </c>
      <c r="F16" s="24">
        <f t="shared" si="0"/>
        <v>0</v>
      </c>
      <c r="G16" s="25">
        <f t="shared" si="3"/>
        <v>1</v>
      </c>
      <c r="H16" s="26" t="s">
        <v>1246</v>
      </c>
      <c r="I16" s="27" t="s">
        <v>1246</v>
      </c>
      <c r="J16" s="28" t="e">
        <f t="shared" si="1"/>
        <v>#VALUE!</v>
      </c>
      <c r="K16" s="29" t="e">
        <f t="shared" si="4"/>
        <v>#VALUE!</v>
      </c>
      <c r="L16" s="26">
        <v>113873.63</v>
      </c>
      <c r="M16" s="27">
        <v>5.5807541299999999</v>
      </c>
      <c r="N16" s="28">
        <f t="shared" si="5"/>
        <v>0.14787128003782682</v>
      </c>
      <c r="O16" s="29">
        <v>0</v>
      </c>
    </row>
    <row r="17" spans="2:15" x14ac:dyDescent="0.25">
      <c r="B17" s="43" t="s">
        <v>1213</v>
      </c>
      <c r="C17" s="30">
        <f t="shared" si="2"/>
        <v>89113.578200000004</v>
      </c>
      <c r="D17" s="57">
        <v>89113.578200000004</v>
      </c>
      <c r="E17" s="23">
        <v>1942.6435944479999</v>
      </c>
      <c r="F17" s="24">
        <f t="shared" si="0"/>
        <v>0</v>
      </c>
      <c r="G17" s="25">
        <f t="shared" si="3"/>
        <v>1</v>
      </c>
      <c r="H17" s="26" t="s">
        <v>1246</v>
      </c>
      <c r="I17" s="27" t="s">
        <v>1246</v>
      </c>
      <c r="J17" s="28" t="e">
        <f t="shared" si="1"/>
        <v>#VALUE!</v>
      </c>
      <c r="K17" s="29" t="e">
        <f t="shared" si="4"/>
        <v>#VALUE!</v>
      </c>
      <c r="L17" s="26">
        <v>107524.8952</v>
      </c>
      <c r="M17" s="27">
        <v>7.0080492220000004</v>
      </c>
      <c r="N17" s="28">
        <f t="shared" si="5"/>
        <v>0.20660506930469094</v>
      </c>
      <c r="O17" s="29">
        <v>0</v>
      </c>
    </row>
    <row r="18" spans="2:15" x14ac:dyDescent="0.25">
      <c r="B18" s="43" t="s">
        <v>1214</v>
      </c>
      <c r="C18" s="30">
        <f t="shared" si="2"/>
        <v>94892.701400000005</v>
      </c>
      <c r="D18" s="57">
        <v>94892.701400000005</v>
      </c>
      <c r="E18" s="23">
        <v>1794.6941130539999</v>
      </c>
      <c r="F18" s="24">
        <f t="shared" si="0"/>
        <v>0</v>
      </c>
      <c r="G18" s="25">
        <f t="shared" si="3"/>
        <v>1</v>
      </c>
      <c r="H18" s="26" t="s">
        <v>1246</v>
      </c>
      <c r="I18" s="27" t="s">
        <v>1246</v>
      </c>
      <c r="J18" s="28" t="e">
        <f t="shared" si="1"/>
        <v>#VALUE!</v>
      </c>
      <c r="K18" s="29" t="e">
        <f t="shared" si="4"/>
        <v>#VALUE!</v>
      </c>
      <c r="L18" s="26">
        <v>112902.2083</v>
      </c>
      <c r="M18" s="27">
        <v>7.3986937739999998</v>
      </c>
      <c r="N18" s="28">
        <f t="shared" si="5"/>
        <v>0.18978811472638707</v>
      </c>
      <c r="O18" s="29">
        <v>0</v>
      </c>
    </row>
    <row r="19" spans="2:15" x14ac:dyDescent="0.25">
      <c r="B19" s="43" t="s">
        <v>1215</v>
      </c>
      <c r="C19" s="30">
        <f t="shared" si="2"/>
        <v>93477.141499999998</v>
      </c>
      <c r="D19" s="57">
        <v>93477.141499999998</v>
      </c>
      <c r="E19" s="23">
        <v>1974.357235253</v>
      </c>
      <c r="F19" s="24">
        <f t="shared" si="0"/>
        <v>0</v>
      </c>
      <c r="G19" s="25">
        <f t="shared" si="3"/>
        <v>1</v>
      </c>
      <c r="H19" s="26" t="s">
        <v>1246</v>
      </c>
      <c r="I19" s="27" t="s">
        <v>1246</v>
      </c>
      <c r="J19" s="28" t="e">
        <f t="shared" si="1"/>
        <v>#VALUE!</v>
      </c>
      <c r="K19" s="29" t="e">
        <f t="shared" si="4"/>
        <v>#VALUE!</v>
      </c>
      <c r="L19" s="26">
        <v>113160.42170000001</v>
      </c>
      <c r="M19" s="27">
        <v>7.0286463589999997</v>
      </c>
      <c r="N19" s="28">
        <f t="shared" si="5"/>
        <v>0.21056784454625208</v>
      </c>
      <c r="O19" s="29">
        <v>0</v>
      </c>
    </row>
    <row r="20" spans="2:15" x14ac:dyDescent="0.25">
      <c r="B20" s="43" t="s">
        <v>1216</v>
      </c>
      <c r="C20" s="30">
        <f t="shared" si="2"/>
        <v>72293.702300000004</v>
      </c>
      <c r="D20" s="57">
        <v>72293.702300000004</v>
      </c>
      <c r="E20" s="23">
        <v>3609.743178363</v>
      </c>
      <c r="F20" s="24">
        <f t="shared" si="0"/>
        <v>0</v>
      </c>
      <c r="G20" s="25">
        <f t="shared" si="3"/>
        <v>1</v>
      </c>
      <c r="H20" s="26" t="s">
        <v>1246</v>
      </c>
      <c r="I20" s="27" t="s">
        <v>1246</v>
      </c>
      <c r="J20" s="28" t="e">
        <f t="shared" si="1"/>
        <v>#VALUE!</v>
      </c>
      <c r="K20" s="29" t="e">
        <f t="shared" si="4"/>
        <v>#VALUE!</v>
      </c>
      <c r="L20" s="26">
        <v>91370.253899999996</v>
      </c>
      <c r="M20" s="27">
        <v>14.332490076999999</v>
      </c>
      <c r="N20" s="28">
        <f t="shared" si="5"/>
        <v>0.26387570414968209</v>
      </c>
      <c r="O20" s="29">
        <v>0</v>
      </c>
    </row>
    <row r="21" spans="2:15" x14ac:dyDescent="0.25">
      <c r="B21" s="43" t="s">
        <v>1217</v>
      </c>
      <c r="C21" s="30">
        <f t="shared" si="2"/>
        <v>72746.288700000005</v>
      </c>
      <c r="D21" s="57">
        <v>72746.288700000005</v>
      </c>
      <c r="E21" s="23">
        <v>3601.5420989999998</v>
      </c>
      <c r="F21" s="24">
        <f t="shared" si="0"/>
        <v>0</v>
      </c>
      <c r="G21" s="25">
        <f t="shared" si="3"/>
        <v>1</v>
      </c>
      <c r="H21" s="26" t="s">
        <v>1246</v>
      </c>
      <c r="I21" s="27" t="s">
        <v>1246</v>
      </c>
      <c r="J21" s="28" t="e">
        <f t="shared" si="1"/>
        <v>#VALUE!</v>
      </c>
      <c r="K21" s="29" t="e">
        <f t="shared" si="4"/>
        <v>#VALUE!</v>
      </c>
      <c r="L21" s="26">
        <v>89773.659</v>
      </c>
      <c r="M21" s="27">
        <v>13.818595847999999</v>
      </c>
      <c r="N21" s="28">
        <f t="shared" si="5"/>
        <v>0.23406514070043541</v>
      </c>
      <c r="O21" s="29">
        <v>0</v>
      </c>
    </row>
    <row r="22" spans="2:15" x14ac:dyDescent="0.25">
      <c r="B22" s="43" t="s">
        <v>1218</v>
      </c>
      <c r="C22" s="30">
        <f t="shared" si="2"/>
        <v>69163.565199999997</v>
      </c>
      <c r="D22" s="57">
        <v>69163.565199999997</v>
      </c>
      <c r="E22" s="23">
        <v>3606.9888729230001</v>
      </c>
      <c r="F22" s="24">
        <f t="shared" si="0"/>
        <v>0</v>
      </c>
      <c r="G22" s="25">
        <f t="shared" si="3"/>
        <v>1</v>
      </c>
      <c r="H22" s="26" t="s">
        <v>1246</v>
      </c>
      <c r="I22" s="27" t="s">
        <v>1246</v>
      </c>
      <c r="J22" s="28" t="e">
        <f t="shared" si="1"/>
        <v>#VALUE!</v>
      </c>
      <c r="K22" s="29" t="e">
        <f t="shared" si="4"/>
        <v>#VALUE!</v>
      </c>
      <c r="L22" s="26">
        <v>91725.149799999999</v>
      </c>
      <c r="M22" s="27">
        <v>14.249207420999999</v>
      </c>
      <c r="N22" s="28">
        <f t="shared" si="5"/>
        <v>0.32620621182205922</v>
      </c>
      <c r="O22" s="29">
        <v>0</v>
      </c>
    </row>
    <row r="23" spans="2:15" x14ac:dyDescent="0.25">
      <c r="B23" s="43" t="s">
        <v>1219</v>
      </c>
      <c r="C23" s="30">
        <f t="shared" si="2"/>
        <v>102261.4561</v>
      </c>
      <c r="D23" s="57">
        <v>102261.4561</v>
      </c>
      <c r="E23" s="23">
        <v>484.981912416</v>
      </c>
      <c r="F23" s="24">
        <f t="shared" si="0"/>
        <v>0</v>
      </c>
      <c r="G23" s="25">
        <f t="shared" si="3"/>
        <v>1</v>
      </c>
      <c r="H23" s="26" t="s">
        <v>1246</v>
      </c>
      <c r="I23" s="27" t="s">
        <v>1246</v>
      </c>
      <c r="J23" s="28" t="e">
        <f t="shared" si="1"/>
        <v>#VALUE!</v>
      </c>
      <c r="K23" s="29" t="e">
        <f t="shared" si="4"/>
        <v>#VALUE!</v>
      </c>
      <c r="L23" s="26">
        <v>117049.59510000001</v>
      </c>
      <c r="M23" s="27">
        <v>3.1254495489999998</v>
      </c>
      <c r="N23" s="28">
        <f t="shared" si="5"/>
        <v>0.14461107404473983</v>
      </c>
      <c r="O23" s="29">
        <v>0</v>
      </c>
    </row>
    <row r="24" spans="2:15" x14ac:dyDescent="0.25">
      <c r="B24" s="43" t="s">
        <v>1220</v>
      </c>
      <c r="C24" s="30">
        <f t="shared" si="2"/>
        <v>99999.109299999996</v>
      </c>
      <c r="D24" s="57">
        <v>99999.109299999996</v>
      </c>
      <c r="E24" s="23">
        <v>448.4161545</v>
      </c>
      <c r="F24" s="24">
        <f t="shared" si="0"/>
        <v>0</v>
      </c>
      <c r="G24" s="25">
        <f t="shared" si="3"/>
        <v>1</v>
      </c>
      <c r="H24" s="26" t="s">
        <v>1246</v>
      </c>
      <c r="I24" s="27" t="s">
        <v>1246</v>
      </c>
      <c r="J24" s="28" t="e">
        <f t="shared" si="1"/>
        <v>#VALUE!</v>
      </c>
      <c r="K24" s="29" t="e">
        <f t="shared" si="4"/>
        <v>#VALUE!</v>
      </c>
      <c r="L24" s="26">
        <v>121022.59149999999</v>
      </c>
      <c r="M24" s="27">
        <v>3.510727964</v>
      </c>
      <c r="N24" s="28">
        <f t="shared" si="5"/>
        <v>0.2102366945782386</v>
      </c>
      <c r="O24" s="29">
        <v>0</v>
      </c>
    </row>
    <row r="25" spans="2:15" x14ac:dyDescent="0.25">
      <c r="B25" s="43" t="s">
        <v>1221</v>
      </c>
      <c r="C25" s="30">
        <f t="shared" si="2"/>
        <v>100053.0618</v>
      </c>
      <c r="D25" s="57">
        <v>100053.0618</v>
      </c>
      <c r="E25" s="23">
        <v>430.98826348099999</v>
      </c>
      <c r="F25" s="24">
        <f t="shared" si="0"/>
        <v>0</v>
      </c>
      <c r="G25" s="25">
        <f t="shared" si="3"/>
        <v>1</v>
      </c>
      <c r="H25" s="26" t="s">
        <v>1246</v>
      </c>
      <c r="I25" s="27" t="s">
        <v>1246</v>
      </c>
      <c r="J25" s="28" t="e">
        <f t="shared" si="1"/>
        <v>#VALUE!</v>
      </c>
      <c r="K25" s="29" t="e">
        <f t="shared" si="4"/>
        <v>#VALUE!</v>
      </c>
      <c r="L25" s="26">
        <v>118782.6149</v>
      </c>
      <c r="M25" s="27">
        <v>3.8140998339999999</v>
      </c>
      <c r="N25" s="28">
        <f t="shared" si="5"/>
        <v>0.18719620132604484</v>
      </c>
      <c r="O25" s="29">
        <v>0</v>
      </c>
    </row>
    <row r="26" spans="2:15" x14ac:dyDescent="0.25">
      <c r="B26" s="43" t="s">
        <v>1222</v>
      </c>
      <c r="C26" s="30">
        <f t="shared" si="2"/>
        <v>95131.5723</v>
      </c>
      <c r="D26" s="57">
        <v>95131.5723</v>
      </c>
      <c r="E26" s="23">
        <v>879.92271014200003</v>
      </c>
      <c r="F26" s="24">
        <f t="shared" si="0"/>
        <v>0</v>
      </c>
      <c r="G26" s="25">
        <f t="shared" si="3"/>
        <v>1</v>
      </c>
      <c r="H26" s="26" t="s">
        <v>1246</v>
      </c>
      <c r="I26" s="27" t="s">
        <v>1246</v>
      </c>
      <c r="J26" s="28" t="e">
        <f t="shared" si="1"/>
        <v>#VALUE!</v>
      </c>
      <c r="K26" s="29" t="e">
        <f t="shared" si="4"/>
        <v>#VALUE!</v>
      </c>
      <c r="L26" s="26">
        <v>119689.83500000001</v>
      </c>
      <c r="M26" s="27">
        <v>4.5879488830000001</v>
      </c>
      <c r="N26" s="28">
        <f t="shared" si="5"/>
        <v>0.2581504973191745</v>
      </c>
      <c r="O26" s="29">
        <v>0</v>
      </c>
    </row>
    <row r="27" spans="2:15" x14ac:dyDescent="0.25">
      <c r="B27" s="43" t="s">
        <v>1223</v>
      </c>
      <c r="C27" s="30">
        <f t="shared" si="2"/>
        <v>92119.950400000002</v>
      </c>
      <c r="D27" s="57">
        <v>92119.950400000002</v>
      </c>
      <c r="E27" s="23">
        <v>792.81876844299995</v>
      </c>
      <c r="F27" s="24">
        <f t="shared" si="0"/>
        <v>0</v>
      </c>
      <c r="G27" s="25">
        <f t="shared" si="3"/>
        <v>1</v>
      </c>
      <c r="H27" s="26" t="s">
        <v>1246</v>
      </c>
      <c r="I27" s="27" t="s">
        <v>1246</v>
      </c>
      <c r="J27" s="28" t="e">
        <f t="shared" si="1"/>
        <v>#VALUE!</v>
      </c>
      <c r="K27" s="29" t="e">
        <f t="shared" si="4"/>
        <v>#VALUE!</v>
      </c>
      <c r="L27" s="26">
        <v>101569.2687</v>
      </c>
      <c r="M27" s="27">
        <v>4.9550705490000002</v>
      </c>
      <c r="N27" s="28">
        <f t="shared" si="5"/>
        <v>0.10257624172580969</v>
      </c>
      <c r="O27" s="29">
        <v>0</v>
      </c>
    </row>
    <row r="28" spans="2:15" x14ac:dyDescent="0.25">
      <c r="B28" s="43" t="s">
        <v>1224</v>
      </c>
      <c r="C28" s="30">
        <f t="shared" si="2"/>
        <v>90799.67</v>
      </c>
      <c r="D28" s="57">
        <v>90799.67</v>
      </c>
      <c r="E28" s="23">
        <v>741.34735460000002</v>
      </c>
      <c r="F28" s="24">
        <f t="shared" si="0"/>
        <v>0</v>
      </c>
      <c r="G28" s="25">
        <f t="shared" si="3"/>
        <v>1</v>
      </c>
      <c r="H28" s="26" t="s">
        <v>1246</v>
      </c>
      <c r="I28" s="27" t="s">
        <v>1246</v>
      </c>
      <c r="J28" s="28" t="e">
        <f t="shared" si="1"/>
        <v>#VALUE!</v>
      </c>
      <c r="K28" s="29" t="e">
        <f t="shared" si="4"/>
        <v>#VALUE!</v>
      </c>
      <c r="L28" s="26">
        <v>104583.40119999999</v>
      </c>
      <c r="M28" s="27">
        <v>4.7760648559999996</v>
      </c>
      <c r="N28" s="28">
        <f t="shared" si="5"/>
        <v>0.15180375875815402</v>
      </c>
      <c r="O28" s="29">
        <v>0</v>
      </c>
    </row>
    <row r="29" spans="2:15" x14ac:dyDescent="0.25">
      <c r="B29" s="43" t="s">
        <v>1225</v>
      </c>
      <c r="C29" s="30">
        <f t="shared" si="2"/>
        <v>90777.960600000006</v>
      </c>
      <c r="D29" s="57">
        <v>90777.960600000006</v>
      </c>
      <c r="E29" s="23">
        <v>1235.6208506769999</v>
      </c>
      <c r="F29" s="24">
        <f t="shared" si="0"/>
        <v>0</v>
      </c>
      <c r="G29" s="25">
        <f t="shared" si="3"/>
        <v>1</v>
      </c>
      <c r="H29" s="26" t="s">
        <v>1246</v>
      </c>
      <c r="I29" s="27" t="s">
        <v>1246</v>
      </c>
      <c r="J29" s="28" t="e">
        <f t="shared" si="1"/>
        <v>#VALUE!</v>
      </c>
      <c r="K29" s="29" t="e">
        <f t="shared" si="4"/>
        <v>#VALUE!</v>
      </c>
      <c r="L29" s="26">
        <v>108799.5417</v>
      </c>
      <c r="M29" s="27">
        <v>5.6590783719999997</v>
      </c>
      <c r="N29" s="28">
        <f t="shared" si="5"/>
        <v>0.1985237493868087</v>
      </c>
      <c r="O29" s="29">
        <v>0</v>
      </c>
    </row>
    <row r="30" spans="2:15" x14ac:dyDescent="0.25">
      <c r="B30" s="43" t="s">
        <v>1226</v>
      </c>
      <c r="C30" s="30">
        <f t="shared" si="2"/>
        <v>88325.025899999993</v>
      </c>
      <c r="D30" s="57">
        <v>88325.025899999993</v>
      </c>
      <c r="E30" s="23">
        <v>1211.4087730000001</v>
      </c>
      <c r="F30" s="24">
        <f t="shared" si="0"/>
        <v>0</v>
      </c>
      <c r="G30" s="25">
        <f t="shared" si="3"/>
        <v>1</v>
      </c>
      <c r="H30" s="26" t="s">
        <v>1246</v>
      </c>
      <c r="I30" s="27" t="s">
        <v>1246</v>
      </c>
      <c r="J30" s="28" t="e">
        <f t="shared" si="1"/>
        <v>#VALUE!</v>
      </c>
      <c r="K30" s="29" t="e">
        <f t="shared" si="4"/>
        <v>#VALUE!</v>
      </c>
      <c r="L30" s="26">
        <v>99956.344299999997</v>
      </c>
      <c r="M30" s="27">
        <v>5.2168590339999996</v>
      </c>
      <c r="N30" s="28">
        <f t="shared" si="5"/>
        <v>0.13168768739642117</v>
      </c>
      <c r="O30" s="29">
        <v>0</v>
      </c>
    </row>
    <row r="31" spans="2:15" x14ac:dyDescent="0.25">
      <c r="B31" s="43" t="s">
        <v>1227</v>
      </c>
      <c r="C31" s="30">
        <f t="shared" si="2"/>
        <v>85522.020999999993</v>
      </c>
      <c r="D31" s="57">
        <v>85522.020999999993</v>
      </c>
      <c r="E31" s="23">
        <v>1278.778716</v>
      </c>
      <c r="F31" s="24">
        <f t="shared" si="0"/>
        <v>0</v>
      </c>
      <c r="G31" s="25">
        <f t="shared" si="3"/>
        <v>1</v>
      </c>
      <c r="H31" s="26" t="s">
        <v>1246</v>
      </c>
      <c r="I31" s="27" t="s">
        <v>1246</v>
      </c>
      <c r="J31" s="28" t="e">
        <f t="shared" si="1"/>
        <v>#VALUE!</v>
      </c>
      <c r="K31" s="29" t="e">
        <f t="shared" si="4"/>
        <v>#VALUE!</v>
      </c>
      <c r="L31" s="26">
        <v>103922.6992</v>
      </c>
      <c r="M31" s="27">
        <v>5.3643690749999999</v>
      </c>
      <c r="N31" s="28">
        <f t="shared" si="5"/>
        <v>0.2151571955952726</v>
      </c>
      <c r="O31" s="29">
        <v>0</v>
      </c>
    </row>
    <row r="32" spans="2:15" x14ac:dyDescent="0.25">
      <c r="B32" s="43" t="s">
        <v>1228</v>
      </c>
      <c r="C32" s="30">
        <f t="shared" si="2"/>
        <v>84616.1633</v>
      </c>
      <c r="D32" s="57">
        <v>84616.1633</v>
      </c>
      <c r="E32" s="23">
        <v>1616.3224029319999</v>
      </c>
      <c r="F32" s="24">
        <f t="shared" si="0"/>
        <v>0</v>
      </c>
      <c r="G32" s="25">
        <f t="shared" si="3"/>
        <v>1</v>
      </c>
      <c r="H32" s="26" t="s">
        <v>1246</v>
      </c>
      <c r="I32" s="27" t="s">
        <v>1246</v>
      </c>
      <c r="J32" s="28" t="e">
        <f t="shared" si="1"/>
        <v>#VALUE!</v>
      </c>
      <c r="K32" s="29" t="e">
        <f t="shared" si="4"/>
        <v>#VALUE!</v>
      </c>
      <c r="L32" s="26">
        <v>104173.8293</v>
      </c>
      <c r="M32" s="27">
        <v>6.779263126</v>
      </c>
      <c r="N32" s="28">
        <f t="shared" si="5"/>
        <v>0.23113392568580332</v>
      </c>
      <c r="O32" s="29">
        <v>0</v>
      </c>
    </row>
    <row r="33" spans="2:15" x14ac:dyDescent="0.25">
      <c r="B33" s="43" t="s">
        <v>1229</v>
      </c>
      <c r="C33" s="30">
        <f t="shared" si="2"/>
        <v>84365.5962</v>
      </c>
      <c r="D33" s="57">
        <v>84365.5962</v>
      </c>
      <c r="E33" s="23">
        <v>1626.8276626110001</v>
      </c>
      <c r="F33" s="24">
        <f t="shared" si="0"/>
        <v>0</v>
      </c>
      <c r="G33" s="25">
        <f t="shared" si="3"/>
        <v>1</v>
      </c>
      <c r="H33" s="26" t="s">
        <v>1246</v>
      </c>
      <c r="I33" s="27" t="s">
        <v>1246</v>
      </c>
      <c r="J33" s="28" t="e">
        <f t="shared" si="1"/>
        <v>#VALUE!</v>
      </c>
      <c r="K33" s="29" t="e">
        <f t="shared" si="4"/>
        <v>#VALUE!</v>
      </c>
      <c r="L33" s="26">
        <v>97576.196800000005</v>
      </c>
      <c r="M33" s="27">
        <v>8.5013932800000003</v>
      </c>
      <c r="N33" s="28">
        <f t="shared" si="5"/>
        <v>0.15658753324853533</v>
      </c>
      <c r="O33" s="29">
        <v>0</v>
      </c>
    </row>
    <row r="34" spans="2:15" x14ac:dyDescent="0.25">
      <c r="B34" s="43" t="s">
        <v>1230</v>
      </c>
      <c r="C34" s="30">
        <f t="shared" si="2"/>
        <v>81494.058799999999</v>
      </c>
      <c r="D34" s="57">
        <v>81494.058799999999</v>
      </c>
      <c r="E34" s="23">
        <v>1653.9641684000001</v>
      </c>
      <c r="F34" s="24">
        <f t="shared" si="0"/>
        <v>0</v>
      </c>
      <c r="G34" s="25">
        <f t="shared" si="3"/>
        <v>1</v>
      </c>
      <c r="H34" s="26" t="s">
        <v>1246</v>
      </c>
      <c r="I34" s="27" t="s">
        <v>1246</v>
      </c>
      <c r="J34" s="28" t="e">
        <f t="shared" si="1"/>
        <v>#VALUE!</v>
      </c>
      <c r="K34" s="29" t="e">
        <f t="shared" si="4"/>
        <v>#VALUE!</v>
      </c>
      <c r="L34" s="26">
        <v>99715.249599999996</v>
      </c>
      <c r="M34" s="27">
        <v>7.2064882050000003</v>
      </c>
      <c r="N34" s="28">
        <f t="shared" si="5"/>
        <v>0.22358919249215253</v>
      </c>
      <c r="O34" s="29">
        <v>0</v>
      </c>
    </row>
    <row r="35" spans="2:15" x14ac:dyDescent="0.25">
      <c r="B35" s="43" t="s">
        <v>1231</v>
      </c>
      <c r="C35" s="30">
        <f t="shared" si="2"/>
        <v>100051.8129</v>
      </c>
      <c r="D35" s="57">
        <v>100051.8129</v>
      </c>
      <c r="E35" s="23">
        <v>3605.2004836629999</v>
      </c>
      <c r="F35" s="24">
        <f t="shared" si="0"/>
        <v>0</v>
      </c>
      <c r="G35" s="25">
        <f t="shared" si="3"/>
        <v>1</v>
      </c>
      <c r="H35" s="26" t="s">
        <v>1246</v>
      </c>
      <c r="I35" s="27" t="s">
        <v>1246</v>
      </c>
      <c r="J35" s="28" t="e">
        <f t="shared" si="1"/>
        <v>#VALUE!</v>
      </c>
      <c r="K35" s="29" t="e">
        <f t="shared" si="4"/>
        <v>#VALUE!</v>
      </c>
      <c r="L35" s="26">
        <v>127949.7113</v>
      </c>
      <c r="M35" s="27">
        <v>13.745021199</v>
      </c>
      <c r="N35" s="28">
        <f t="shared" si="5"/>
        <v>0.27883451175325968</v>
      </c>
      <c r="O35" s="29">
        <v>0</v>
      </c>
    </row>
    <row r="36" spans="2:15" x14ac:dyDescent="0.25">
      <c r="B36" s="43" t="s">
        <v>1232</v>
      </c>
      <c r="C36" s="30">
        <f t="shared" si="2"/>
        <v>101825.3275</v>
      </c>
      <c r="D36" s="57">
        <v>101825.3275</v>
      </c>
      <c r="E36" s="23">
        <v>3616.0851250539999</v>
      </c>
      <c r="F36" s="24">
        <f t="shared" si="0"/>
        <v>0</v>
      </c>
      <c r="G36" s="25">
        <f t="shared" si="3"/>
        <v>1</v>
      </c>
      <c r="H36" s="26" t="s">
        <v>1246</v>
      </c>
      <c r="I36" s="27" t="s">
        <v>1246</v>
      </c>
      <c r="J36" s="28" t="e">
        <f t="shared" si="1"/>
        <v>#VALUE!</v>
      </c>
      <c r="K36" s="29" t="e">
        <f t="shared" si="4"/>
        <v>#VALUE!</v>
      </c>
      <c r="L36" s="26">
        <v>128770.6382</v>
      </c>
      <c r="M36" s="27">
        <v>17.568880553</v>
      </c>
      <c r="N36" s="28">
        <f t="shared" si="5"/>
        <v>0.26462287292913445</v>
      </c>
      <c r="O36" s="29">
        <v>0</v>
      </c>
    </row>
    <row r="37" spans="2:15" x14ac:dyDescent="0.25">
      <c r="B37" s="43" t="s">
        <v>1233</v>
      </c>
      <c r="C37" s="30">
        <f t="shared" si="2"/>
        <v>103230.79270000001</v>
      </c>
      <c r="D37" s="57">
        <v>103230.79270000001</v>
      </c>
      <c r="E37" s="23">
        <v>3605.2526046869998</v>
      </c>
      <c r="F37" s="24">
        <f t="shared" si="0"/>
        <v>0</v>
      </c>
      <c r="G37" s="25">
        <f t="shared" si="3"/>
        <v>1</v>
      </c>
      <c r="H37" s="26" t="s">
        <v>1246</v>
      </c>
      <c r="I37" s="27" t="s">
        <v>1246</v>
      </c>
      <c r="J37" s="28" t="e">
        <f t="shared" si="1"/>
        <v>#VALUE!</v>
      </c>
      <c r="K37" s="29" t="e">
        <f t="shared" si="4"/>
        <v>#VALUE!</v>
      </c>
      <c r="L37" s="26">
        <v>137664.81280000001</v>
      </c>
      <c r="M37" s="27">
        <v>13.068298034</v>
      </c>
      <c r="N37" s="28">
        <f t="shared" si="5"/>
        <v>0.33356345717569991</v>
      </c>
      <c r="O37" s="29">
        <v>0</v>
      </c>
    </row>
    <row r="38" spans="2:15" x14ac:dyDescent="0.25">
      <c r="B38" s="43" t="s">
        <v>1234</v>
      </c>
      <c r="C38" s="30">
        <f t="shared" si="2"/>
        <v>139217.9161</v>
      </c>
      <c r="D38" s="57">
        <v>139217.9161</v>
      </c>
      <c r="E38" s="23">
        <v>432.02196905599999</v>
      </c>
      <c r="F38" s="24">
        <f t="shared" si="0"/>
        <v>0</v>
      </c>
      <c r="G38" s="25">
        <f t="shared" si="3"/>
        <v>1</v>
      </c>
      <c r="H38" s="26" t="s">
        <v>1246</v>
      </c>
      <c r="I38" s="27" t="s">
        <v>1246</v>
      </c>
      <c r="J38" s="28" t="e">
        <f t="shared" si="1"/>
        <v>#VALUE!</v>
      </c>
      <c r="K38" s="29" t="e">
        <f t="shared" si="4"/>
        <v>#VALUE!</v>
      </c>
      <c r="L38" s="26">
        <v>157264.09719999999</v>
      </c>
      <c r="M38" s="27">
        <v>2.7729097820000002</v>
      </c>
      <c r="N38" s="28">
        <f t="shared" si="5"/>
        <v>0.12962542182456921</v>
      </c>
      <c r="O38" s="29">
        <v>0</v>
      </c>
    </row>
    <row r="39" spans="2:15" x14ac:dyDescent="0.25">
      <c r="B39" s="43" t="s">
        <v>1235</v>
      </c>
      <c r="C39" s="30">
        <f t="shared" si="2"/>
        <v>141258.13339999999</v>
      </c>
      <c r="D39" s="57">
        <v>141258.13339999999</v>
      </c>
      <c r="E39" s="23">
        <v>328.13725677799999</v>
      </c>
      <c r="F39" s="24">
        <f t="shared" si="0"/>
        <v>0</v>
      </c>
      <c r="G39" s="25">
        <f t="shared" si="3"/>
        <v>1</v>
      </c>
      <c r="H39" s="26" t="s">
        <v>1246</v>
      </c>
      <c r="I39" s="27" t="s">
        <v>1246</v>
      </c>
      <c r="J39" s="28" t="e">
        <f t="shared" si="1"/>
        <v>#VALUE!</v>
      </c>
      <c r="K39" s="29" t="e">
        <f t="shared" si="4"/>
        <v>#VALUE!</v>
      </c>
      <c r="L39" s="26">
        <v>168497.56510000001</v>
      </c>
      <c r="M39" s="27">
        <v>3.0281858690000001</v>
      </c>
      <c r="N39" s="28">
        <f t="shared" si="5"/>
        <v>0.19283443044561721</v>
      </c>
      <c r="O39" s="29">
        <v>0</v>
      </c>
    </row>
    <row r="40" spans="2:15" x14ac:dyDescent="0.25">
      <c r="B40" s="43" t="s">
        <v>1236</v>
      </c>
      <c r="C40" s="30">
        <f t="shared" si="2"/>
        <v>143128.93780000001</v>
      </c>
      <c r="D40" s="57">
        <v>143128.93780000001</v>
      </c>
      <c r="E40" s="23">
        <v>413.47709763099999</v>
      </c>
      <c r="F40" s="24">
        <f t="shared" si="0"/>
        <v>0</v>
      </c>
      <c r="G40" s="25">
        <f t="shared" si="3"/>
        <v>1</v>
      </c>
      <c r="H40" s="26" t="s">
        <v>1246</v>
      </c>
      <c r="I40" s="27" t="s">
        <v>1246</v>
      </c>
      <c r="J40" s="28" t="e">
        <f t="shared" si="1"/>
        <v>#VALUE!</v>
      </c>
      <c r="K40" s="29" t="e">
        <f t="shared" si="4"/>
        <v>#VALUE!</v>
      </c>
      <c r="L40" s="26">
        <v>169206.0901</v>
      </c>
      <c r="M40" s="27">
        <v>4.53266787</v>
      </c>
      <c r="N40" s="28">
        <f t="shared" si="5"/>
        <v>0.18219343132720422</v>
      </c>
      <c r="O40" s="29">
        <v>0</v>
      </c>
    </row>
    <row r="41" spans="2:15" x14ac:dyDescent="0.25">
      <c r="B41" s="43" t="s">
        <v>1237</v>
      </c>
      <c r="C41" s="30">
        <f t="shared" si="2"/>
        <v>129509.3827</v>
      </c>
      <c r="D41" s="57">
        <v>129509.3827</v>
      </c>
      <c r="E41" s="23">
        <v>756.91261671100006</v>
      </c>
      <c r="F41" s="24">
        <f t="shared" si="0"/>
        <v>0</v>
      </c>
      <c r="G41" s="25">
        <f t="shared" si="3"/>
        <v>1</v>
      </c>
      <c r="H41" s="26" t="s">
        <v>1246</v>
      </c>
      <c r="I41" s="27" t="s">
        <v>1246</v>
      </c>
      <c r="J41" s="28" t="e">
        <f t="shared" si="1"/>
        <v>#VALUE!</v>
      </c>
      <c r="K41" s="29" t="e">
        <f t="shared" si="4"/>
        <v>#VALUE!</v>
      </c>
      <c r="L41" s="26">
        <v>152212.45420000001</v>
      </c>
      <c r="M41" s="27">
        <v>4.5672048890000001</v>
      </c>
      <c r="N41" s="28">
        <f t="shared" si="5"/>
        <v>0.17530059233306813</v>
      </c>
      <c r="O41" s="29">
        <v>0</v>
      </c>
    </row>
    <row r="42" spans="2:15" x14ac:dyDescent="0.25">
      <c r="B42" s="43" t="s">
        <v>1238</v>
      </c>
      <c r="C42" s="30">
        <f t="shared" si="2"/>
        <v>131523.7089</v>
      </c>
      <c r="D42" s="57">
        <v>131523.7089</v>
      </c>
      <c r="E42" s="23">
        <v>920.44786610400001</v>
      </c>
      <c r="F42" s="24">
        <f t="shared" si="0"/>
        <v>0</v>
      </c>
      <c r="G42" s="25">
        <f t="shared" si="3"/>
        <v>1</v>
      </c>
      <c r="H42" s="26" t="s">
        <v>1246</v>
      </c>
      <c r="I42" s="27" t="s">
        <v>1246</v>
      </c>
      <c r="J42" s="28" t="e">
        <f t="shared" si="1"/>
        <v>#VALUE!</v>
      </c>
      <c r="K42" s="29" t="e">
        <f t="shared" si="4"/>
        <v>#VALUE!</v>
      </c>
      <c r="L42" s="26">
        <v>159296.83439999999</v>
      </c>
      <c r="M42" s="27">
        <v>4.6186398339999997</v>
      </c>
      <c r="N42" s="28">
        <f t="shared" si="5"/>
        <v>0.21116440322646646</v>
      </c>
      <c r="O42" s="29">
        <v>0</v>
      </c>
    </row>
    <row r="43" spans="2:15" x14ac:dyDescent="0.25">
      <c r="B43" s="43" t="s">
        <v>1239</v>
      </c>
      <c r="C43" s="30">
        <f t="shared" si="2"/>
        <v>132658.1502</v>
      </c>
      <c r="D43" s="57">
        <v>132658.1502</v>
      </c>
      <c r="E43" s="23">
        <v>809.76918294899997</v>
      </c>
      <c r="F43" s="24">
        <f t="shared" si="0"/>
        <v>0</v>
      </c>
      <c r="G43" s="25">
        <f t="shared" si="3"/>
        <v>1</v>
      </c>
      <c r="H43" s="26" t="s">
        <v>1246</v>
      </c>
      <c r="I43" s="27" t="s">
        <v>1246</v>
      </c>
      <c r="J43" s="28" t="e">
        <f t="shared" si="1"/>
        <v>#VALUE!</v>
      </c>
      <c r="K43" s="29" t="e">
        <f t="shared" si="4"/>
        <v>#VALUE!</v>
      </c>
      <c r="L43" s="26">
        <v>155209.82759999999</v>
      </c>
      <c r="M43" s="27">
        <v>4.6723934460000001</v>
      </c>
      <c r="N43" s="28">
        <f t="shared" si="5"/>
        <v>0.16999843105003573</v>
      </c>
      <c r="O43" s="29">
        <v>0</v>
      </c>
    </row>
    <row r="44" spans="2:15" x14ac:dyDescent="0.25">
      <c r="B44" s="43" t="s">
        <v>1240</v>
      </c>
      <c r="C44" s="30">
        <f t="shared" si="2"/>
        <v>122855.6909</v>
      </c>
      <c r="D44" s="57">
        <v>122855.6909</v>
      </c>
      <c r="E44" s="23">
        <v>1458.675188423</v>
      </c>
      <c r="F44" s="24">
        <f t="shared" si="0"/>
        <v>0</v>
      </c>
      <c r="G44" s="25">
        <f t="shared" si="3"/>
        <v>1</v>
      </c>
      <c r="H44" s="26" t="s">
        <v>1246</v>
      </c>
      <c r="I44" s="27" t="s">
        <v>1246</v>
      </c>
      <c r="J44" s="28" t="e">
        <f t="shared" si="1"/>
        <v>#VALUE!</v>
      </c>
      <c r="K44" s="29" t="e">
        <f t="shared" si="4"/>
        <v>#VALUE!</v>
      </c>
      <c r="L44" s="26">
        <v>148402.26930000001</v>
      </c>
      <c r="M44" s="27">
        <v>8.173144186</v>
      </c>
      <c r="N44" s="28">
        <f t="shared" si="5"/>
        <v>0.20793972353135831</v>
      </c>
      <c r="O44" s="29">
        <v>0</v>
      </c>
    </row>
    <row r="45" spans="2:15" x14ac:dyDescent="0.25">
      <c r="B45" s="43" t="s">
        <v>1241</v>
      </c>
      <c r="C45" s="30">
        <f t="shared" si="2"/>
        <v>124230.2675</v>
      </c>
      <c r="D45" s="57">
        <v>124230.2675</v>
      </c>
      <c r="E45" s="23">
        <v>1093.2575870149999</v>
      </c>
      <c r="F45" s="24">
        <f t="shared" si="0"/>
        <v>0</v>
      </c>
      <c r="G45" s="25">
        <f t="shared" si="3"/>
        <v>1</v>
      </c>
      <c r="H45" s="26" t="s">
        <v>1246</v>
      </c>
      <c r="I45" s="27" t="s">
        <v>1246</v>
      </c>
      <c r="J45" s="28" t="e">
        <f t="shared" si="1"/>
        <v>#VALUE!</v>
      </c>
      <c r="K45" s="29" t="e">
        <f t="shared" si="4"/>
        <v>#VALUE!</v>
      </c>
      <c r="L45" s="26">
        <v>143179.55679999999</v>
      </c>
      <c r="M45" s="27">
        <v>6.5616384910000001</v>
      </c>
      <c r="N45" s="28">
        <f t="shared" si="5"/>
        <v>0.15253359492283142</v>
      </c>
      <c r="O45" s="29">
        <v>0</v>
      </c>
    </row>
    <row r="46" spans="2:15" x14ac:dyDescent="0.25">
      <c r="B46" s="43" t="s">
        <v>1242</v>
      </c>
      <c r="C46" s="30">
        <f t="shared" si="2"/>
        <v>125820.0726</v>
      </c>
      <c r="D46" s="57">
        <v>125820.0726</v>
      </c>
      <c r="E46" s="23">
        <v>1174.969360457</v>
      </c>
      <c r="F46" s="24">
        <f t="shared" si="0"/>
        <v>0</v>
      </c>
      <c r="G46" s="25">
        <f t="shared" si="3"/>
        <v>1</v>
      </c>
      <c r="H46" s="26" t="s">
        <v>1246</v>
      </c>
      <c r="I46" s="27" t="s">
        <v>1246</v>
      </c>
      <c r="J46" s="28" t="e">
        <f t="shared" si="1"/>
        <v>#VALUE!</v>
      </c>
      <c r="K46" s="29" t="e">
        <f t="shared" si="4"/>
        <v>#VALUE!</v>
      </c>
      <c r="L46" s="26">
        <v>150823.2488</v>
      </c>
      <c r="M46" s="27">
        <v>6.6356046969999998</v>
      </c>
      <c r="N46" s="28">
        <f t="shared" si="5"/>
        <v>0.19872167996189824</v>
      </c>
      <c r="O46" s="29">
        <v>0</v>
      </c>
    </row>
    <row r="47" spans="2:15" x14ac:dyDescent="0.25">
      <c r="B47" s="43" t="s">
        <v>1243</v>
      </c>
      <c r="C47" s="30">
        <f t="shared" si="2"/>
        <v>118138.4797</v>
      </c>
      <c r="D47" s="57">
        <v>118138.4797</v>
      </c>
      <c r="E47" s="23">
        <v>1868.4944131</v>
      </c>
      <c r="F47" s="24">
        <f t="shared" si="0"/>
        <v>0</v>
      </c>
      <c r="G47" s="25">
        <f t="shared" si="3"/>
        <v>1</v>
      </c>
      <c r="H47" s="26" t="s">
        <v>1246</v>
      </c>
      <c r="I47" s="27" t="s">
        <v>1246</v>
      </c>
      <c r="J47" s="28" t="e">
        <f t="shared" si="1"/>
        <v>#VALUE!</v>
      </c>
      <c r="K47" s="29" t="e">
        <f t="shared" si="4"/>
        <v>#VALUE!</v>
      </c>
      <c r="L47" s="26">
        <v>147266.3805</v>
      </c>
      <c r="M47" s="27">
        <v>6.9533335000000003</v>
      </c>
      <c r="N47" s="28">
        <f t="shared" si="5"/>
        <v>0.2465572679957215</v>
      </c>
      <c r="O47" s="29">
        <v>0</v>
      </c>
    </row>
    <row r="48" spans="2:15" x14ac:dyDescent="0.25">
      <c r="B48" s="43" t="s">
        <v>1244</v>
      </c>
      <c r="C48" s="30">
        <f t="shared" si="2"/>
        <v>119329.1459</v>
      </c>
      <c r="D48" s="57">
        <v>119329.1459</v>
      </c>
      <c r="E48" s="23">
        <v>1739.4640022870001</v>
      </c>
      <c r="F48" s="24">
        <f t="shared" si="0"/>
        <v>0</v>
      </c>
      <c r="G48" s="25">
        <f t="shared" si="3"/>
        <v>1</v>
      </c>
      <c r="H48" s="26" t="s">
        <v>1246</v>
      </c>
      <c r="I48" s="27" t="s">
        <v>1246</v>
      </c>
      <c r="J48" s="28" t="e">
        <f t="shared" si="1"/>
        <v>#VALUE!</v>
      </c>
      <c r="K48" s="29" t="e">
        <f t="shared" si="4"/>
        <v>#VALUE!</v>
      </c>
      <c r="L48" s="26">
        <v>141819.9749</v>
      </c>
      <c r="M48" s="27">
        <v>7.543894935</v>
      </c>
      <c r="N48" s="28">
        <f t="shared" si="5"/>
        <v>0.18847724778695493</v>
      </c>
      <c r="O48" s="29">
        <v>0</v>
      </c>
    </row>
    <row r="49" spans="2:15" ht="15.75" thickBot="1" x14ac:dyDescent="0.3">
      <c r="B49" s="44" t="s">
        <v>1245</v>
      </c>
      <c r="C49" s="30">
        <f t="shared" si="2"/>
        <v>120814.5705</v>
      </c>
      <c r="D49" s="57">
        <v>120814.5705</v>
      </c>
      <c r="E49" s="23">
        <v>1729.985337847</v>
      </c>
      <c r="F49" s="24">
        <f t="shared" si="0"/>
        <v>0</v>
      </c>
      <c r="G49" s="25">
        <f t="shared" si="3"/>
        <v>1</v>
      </c>
      <c r="H49" s="26" t="s">
        <v>1246</v>
      </c>
      <c r="I49" s="27" t="s">
        <v>1246</v>
      </c>
      <c r="J49" s="28" t="e">
        <f t="shared" si="1"/>
        <v>#VALUE!</v>
      </c>
      <c r="K49" s="29" t="e">
        <f t="shared" si="4"/>
        <v>#VALUE!</v>
      </c>
      <c r="L49" s="26">
        <v>149000.1453</v>
      </c>
      <c r="M49" s="27">
        <v>6.8658874479999996</v>
      </c>
      <c r="N49" s="28">
        <f t="shared" si="5"/>
        <v>0.23329615528451514</v>
      </c>
      <c r="O49" s="29">
        <v>0</v>
      </c>
    </row>
    <row r="50" spans="2:15" ht="15.75" thickBot="1" x14ac:dyDescent="0.3">
      <c r="C50" s="33">
        <f>AVERAGE(C5:C49)</f>
        <v>102265.75975777778</v>
      </c>
      <c r="D50" s="58">
        <f>AVERAGE(D5:D49)</f>
        <v>102265.75975777778</v>
      </c>
      <c r="E50" s="35">
        <f>AVERAGE(E5:E49)</f>
        <v>1576.9776019489555</v>
      </c>
      <c r="F50" s="36">
        <f>AVERAGE(F5:F49)</f>
        <v>0</v>
      </c>
      <c r="G50" s="37">
        <f>SUM(G5:G49)</f>
        <v>45</v>
      </c>
      <c r="H50" s="38" t="e">
        <f>AVERAGE(H5:H49)</f>
        <v>#DIV/0!</v>
      </c>
      <c r="I50" s="38" t="e">
        <f>AVERAGE(I5:I49)</f>
        <v>#DIV/0!</v>
      </c>
      <c r="J50" s="54" t="e">
        <f>AVERAGE(J5:J49)</f>
        <v>#VALUE!</v>
      </c>
      <c r="K50" s="40" t="e">
        <f>SUM(K5:K49)</f>
        <v>#VALUE!</v>
      </c>
      <c r="L50" s="38">
        <f>AVERAGE(L5:L49)</f>
        <v>122482.49383111113</v>
      </c>
      <c r="M50" s="38">
        <f>AVERAGE(M5:M49)</f>
        <v>7.3171585698666695</v>
      </c>
      <c r="N50" s="54">
        <f>AVERAGE(N5:N49)</f>
        <v>0.20197838998968998</v>
      </c>
      <c r="O50" s="40">
        <f>SUM(O5:O49)</f>
        <v>0</v>
      </c>
    </row>
    <row r="54" spans="2:15" ht="15.75" thickBot="1" x14ac:dyDescent="0.3"/>
    <row r="55" spans="2:15" x14ac:dyDescent="0.25">
      <c r="B55" s="1"/>
      <c r="C55" s="55"/>
      <c r="D55" s="4" t="s">
        <v>126</v>
      </c>
      <c r="E55" s="5"/>
      <c r="F55" s="5"/>
      <c r="G55" s="6"/>
      <c r="H55" s="7" t="s">
        <v>125</v>
      </c>
      <c r="I55" s="8"/>
      <c r="J55" s="8"/>
      <c r="K55" s="9"/>
      <c r="L55" s="7" t="s">
        <v>247</v>
      </c>
      <c r="M55" s="8"/>
      <c r="N55" s="8"/>
      <c r="O55" s="9"/>
    </row>
    <row r="56" spans="2:15" ht="15.75" thickBot="1" x14ac:dyDescent="0.3">
      <c r="B56" s="10"/>
      <c r="C56" s="56" t="s">
        <v>1109</v>
      </c>
      <c r="D56" s="13" t="s">
        <v>1</v>
      </c>
      <c r="E56" s="14" t="s">
        <v>2</v>
      </c>
      <c r="F56" s="14" t="s">
        <v>3</v>
      </c>
      <c r="G56" s="15" t="s">
        <v>4</v>
      </c>
      <c r="H56" s="16" t="s">
        <v>1</v>
      </c>
      <c r="I56" s="17" t="s">
        <v>2</v>
      </c>
      <c r="J56" s="17" t="s">
        <v>3</v>
      </c>
      <c r="K56" s="18" t="s">
        <v>4</v>
      </c>
      <c r="L56" s="16" t="s">
        <v>1</v>
      </c>
      <c r="M56" s="17" t="s">
        <v>2</v>
      </c>
      <c r="N56" s="17" t="s">
        <v>3</v>
      </c>
      <c r="O56" s="18" t="s">
        <v>4</v>
      </c>
    </row>
    <row r="57" spans="2:15" x14ac:dyDescent="0.25">
      <c r="B57" s="52" t="s">
        <v>1156</v>
      </c>
      <c r="C57" s="64">
        <f>MIN(D57,H57,L57)</f>
        <v>2514908.9001000002</v>
      </c>
      <c r="D57" s="57">
        <v>2514908.9001000002</v>
      </c>
      <c r="E57" s="23">
        <v>3613.468371983</v>
      </c>
      <c r="F57" s="24">
        <f t="shared" ref="F57:F101" si="6">(D57-C57)/C57</f>
        <v>0</v>
      </c>
      <c r="G57" s="25">
        <f>IF(F57&lt;0.000001,1,0)</f>
        <v>1</v>
      </c>
      <c r="H57" s="26" t="s">
        <v>1246</v>
      </c>
      <c r="I57" s="27" t="s">
        <v>1246</v>
      </c>
      <c r="J57" s="28" t="e">
        <f t="shared" ref="J57:J101" si="7">(H57-C57)/C57</f>
        <v>#VALUE!</v>
      </c>
      <c r="K57" s="29" t="e">
        <f>IF(J57&lt;0.000001,1,0)</f>
        <v>#VALUE!</v>
      </c>
      <c r="L57" s="26">
        <v>3603945.2873</v>
      </c>
      <c r="M57" s="27">
        <v>16.999348857999998</v>
      </c>
      <c r="N57" s="28">
        <f t="shared" ref="N57:N101" si="8">(L57-C57)/C57</f>
        <v>0.43303214170370008</v>
      </c>
      <c r="O57" s="29">
        <v>0</v>
      </c>
    </row>
    <row r="58" spans="2:15" x14ac:dyDescent="0.25">
      <c r="B58" s="43" t="s">
        <v>1157</v>
      </c>
      <c r="C58" s="65">
        <f t="shared" ref="C58:C101" si="9">MIN(D58,H58,L58)</f>
        <v>2898297.9043000001</v>
      </c>
      <c r="D58" s="57">
        <v>2898297.9043000001</v>
      </c>
      <c r="E58" s="23">
        <v>3612.6827615689999</v>
      </c>
      <c r="F58" s="24">
        <f t="shared" si="6"/>
        <v>0</v>
      </c>
      <c r="G58" s="25">
        <f t="shared" ref="G58:G101" si="10">IF(F58&lt;0.000001,1,0)</f>
        <v>1</v>
      </c>
      <c r="H58" s="26" t="s">
        <v>1246</v>
      </c>
      <c r="I58" s="27" t="s">
        <v>1246</v>
      </c>
      <c r="J58" s="28" t="e">
        <f t="shared" si="7"/>
        <v>#VALUE!</v>
      </c>
      <c r="K58" s="29" t="e">
        <f t="shared" ref="K58:K101" si="11">IF(J58&lt;0.000001,1,0)</f>
        <v>#VALUE!</v>
      </c>
      <c r="L58" s="26">
        <v>3948828.3541999999</v>
      </c>
      <c r="M58" s="27">
        <v>15.729722730000001</v>
      </c>
      <c r="N58" s="28">
        <f t="shared" si="8"/>
        <v>0.36246462047307215</v>
      </c>
      <c r="O58" s="29">
        <v>0</v>
      </c>
    </row>
    <row r="59" spans="2:15" x14ac:dyDescent="0.25">
      <c r="B59" s="43" t="s">
        <v>1158</v>
      </c>
      <c r="C59" s="65">
        <f t="shared" si="9"/>
        <v>2922768.2305000001</v>
      </c>
      <c r="D59" s="57">
        <v>2922768.2305000001</v>
      </c>
      <c r="E59" s="23">
        <v>3606.6259432040001</v>
      </c>
      <c r="F59" s="24">
        <f t="shared" si="6"/>
        <v>0</v>
      </c>
      <c r="G59" s="25">
        <f t="shared" si="10"/>
        <v>1</v>
      </c>
      <c r="H59" s="26" t="s">
        <v>1246</v>
      </c>
      <c r="I59" s="27" t="s">
        <v>1246</v>
      </c>
      <c r="J59" s="28" t="e">
        <f t="shared" si="7"/>
        <v>#VALUE!</v>
      </c>
      <c r="K59" s="29" t="e">
        <f t="shared" si="11"/>
        <v>#VALUE!</v>
      </c>
      <c r="L59" s="26">
        <v>4208913.3225999996</v>
      </c>
      <c r="M59" s="27">
        <v>20.370726779000002</v>
      </c>
      <c r="N59" s="28">
        <f t="shared" si="8"/>
        <v>0.44004347613973405</v>
      </c>
      <c r="O59" s="29">
        <v>0</v>
      </c>
    </row>
    <row r="60" spans="2:15" x14ac:dyDescent="0.25">
      <c r="B60" s="43" t="s">
        <v>1159</v>
      </c>
      <c r="C60" s="65">
        <f t="shared" si="9"/>
        <v>3799328.6184999999</v>
      </c>
      <c r="D60" s="57">
        <v>3799328.6184999999</v>
      </c>
      <c r="E60" s="23">
        <v>404.23684121299999</v>
      </c>
      <c r="F60" s="24">
        <f t="shared" si="6"/>
        <v>0</v>
      </c>
      <c r="G60" s="25">
        <f t="shared" si="10"/>
        <v>1</v>
      </c>
      <c r="H60" s="26" t="s">
        <v>1246</v>
      </c>
      <c r="I60" s="27" t="s">
        <v>1246</v>
      </c>
      <c r="J60" s="28" t="e">
        <f t="shared" si="7"/>
        <v>#VALUE!</v>
      </c>
      <c r="K60" s="29" t="e">
        <f t="shared" si="11"/>
        <v>#VALUE!</v>
      </c>
      <c r="L60" s="26">
        <v>4923050.4874</v>
      </c>
      <c r="M60" s="27">
        <v>4.0974789490000001</v>
      </c>
      <c r="N60" s="28">
        <f t="shared" si="8"/>
        <v>0.29576853748009113</v>
      </c>
      <c r="O60" s="29">
        <v>0</v>
      </c>
    </row>
    <row r="61" spans="2:15" x14ac:dyDescent="0.25">
      <c r="B61" s="43" t="s">
        <v>1160</v>
      </c>
      <c r="C61" s="65">
        <f t="shared" si="9"/>
        <v>4385082.659</v>
      </c>
      <c r="D61" s="57">
        <v>4385082.659</v>
      </c>
      <c r="E61" s="23">
        <v>391.849007433</v>
      </c>
      <c r="F61" s="24">
        <f t="shared" si="6"/>
        <v>0</v>
      </c>
      <c r="G61" s="25">
        <f t="shared" si="10"/>
        <v>1</v>
      </c>
      <c r="H61" s="26" t="s">
        <v>1246</v>
      </c>
      <c r="I61" s="27" t="s">
        <v>1246</v>
      </c>
      <c r="J61" s="28" t="e">
        <f t="shared" si="7"/>
        <v>#VALUE!</v>
      </c>
      <c r="K61" s="29" t="e">
        <f t="shared" si="11"/>
        <v>#VALUE!</v>
      </c>
      <c r="L61" s="26">
        <v>5700161.0214</v>
      </c>
      <c r="M61" s="27">
        <v>4.8427138240000005</v>
      </c>
      <c r="N61" s="28">
        <f t="shared" si="8"/>
        <v>0.29989819227259407</v>
      </c>
      <c r="O61" s="29">
        <v>0</v>
      </c>
    </row>
    <row r="62" spans="2:15" x14ac:dyDescent="0.25">
      <c r="B62" s="43" t="s">
        <v>1161</v>
      </c>
      <c r="C62" s="65">
        <f t="shared" si="9"/>
        <v>4549751.0341999996</v>
      </c>
      <c r="D62" s="57">
        <v>4549751.0341999996</v>
      </c>
      <c r="E62" s="23">
        <v>454.54064212600002</v>
      </c>
      <c r="F62" s="24">
        <f t="shared" si="6"/>
        <v>0</v>
      </c>
      <c r="G62" s="25">
        <f t="shared" si="10"/>
        <v>1</v>
      </c>
      <c r="H62" s="26" t="s">
        <v>1246</v>
      </c>
      <c r="I62" s="27" t="s">
        <v>1246</v>
      </c>
      <c r="J62" s="28" t="e">
        <f t="shared" si="7"/>
        <v>#VALUE!</v>
      </c>
      <c r="K62" s="29" t="e">
        <f t="shared" si="11"/>
        <v>#VALUE!</v>
      </c>
      <c r="L62" s="26">
        <v>5366958.5999999996</v>
      </c>
      <c r="M62" s="27">
        <v>3.8235004460000002</v>
      </c>
      <c r="N62" s="28">
        <f t="shared" si="8"/>
        <v>0.17961588659624159</v>
      </c>
      <c r="O62" s="29">
        <v>0</v>
      </c>
    </row>
    <row r="63" spans="2:15" x14ac:dyDescent="0.25">
      <c r="B63" s="43" t="s">
        <v>1162</v>
      </c>
      <c r="C63" s="65">
        <f t="shared" si="9"/>
        <v>3500070.7215</v>
      </c>
      <c r="D63" s="57">
        <v>3500070.7215</v>
      </c>
      <c r="E63" s="23">
        <v>722.88494445699996</v>
      </c>
      <c r="F63" s="24">
        <f t="shared" si="6"/>
        <v>0</v>
      </c>
      <c r="G63" s="25">
        <f t="shared" si="10"/>
        <v>1</v>
      </c>
      <c r="H63" s="26" t="s">
        <v>1246</v>
      </c>
      <c r="I63" s="27" t="s">
        <v>1246</v>
      </c>
      <c r="J63" s="28" t="e">
        <f t="shared" si="7"/>
        <v>#VALUE!</v>
      </c>
      <c r="K63" s="29" t="e">
        <f t="shared" si="11"/>
        <v>#VALUE!</v>
      </c>
      <c r="L63" s="26">
        <v>4074885.0351999998</v>
      </c>
      <c r="M63" s="27">
        <v>6.0341642960000001</v>
      </c>
      <c r="N63" s="28">
        <f t="shared" si="8"/>
        <v>0.16422934261558458</v>
      </c>
      <c r="O63" s="29">
        <v>0</v>
      </c>
    </row>
    <row r="64" spans="2:15" x14ac:dyDescent="0.25">
      <c r="B64" s="43" t="s">
        <v>1163</v>
      </c>
      <c r="C64" s="65">
        <f t="shared" si="9"/>
        <v>4164989.0036999998</v>
      </c>
      <c r="D64" s="57">
        <v>4164989.0036999998</v>
      </c>
      <c r="E64" s="23">
        <v>708.76302132900003</v>
      </c>
      <c r="F64" s="24">
        <f t="shared" si="6"/>
        <v>0</v>
      </c>
      <c r="G64" s="25">
        <f t="shared" si="10"/>
        <v>1</v>
      </c>
      <c r="H64" s="26" t="s">
        <v>1246</v>
      </c>
      <c r="I64" s="27" t="s">
        <v>1246</v>
      </c>
      <c r="J64" s="28" t="e">
        <f t="shared" si="7"/>
        <v>#VALUE!</v>
      </c>
      <c r="K64" s="29" t="e">
        <f t="shared" si="11"/>
        <v>#VALUE!</v>
      </c>
      <c r="L64" s="26">
        <v>4751596.0231999997</v>
      </c>
      <c r="M64" s="27">
        <v>5.3473697690000002</v>
      </c>
      <c r="N64" s="28">
        <f t="shared" si="8"/>
        <v>0.14084239333618484</v>
      </c>
      <c r="O64" s="29">
        <v>0</v>
      </c>
    </row>
    <row r="65" spans="2:15" x14ac:dyDescent="0.25">
      <c r="B65" s="43" t="s">
        <v>1164</v>
      </c>
      <c r="C65" s="65">
        <f t="shared" si="9"/>
        <v>4036098.7072000001</v>
      </c>
      <c r="D65" s="57">
        <v>4036098.7072000001</v>
      </c>
      <c r="E65" s="23">
        <v>724.92991705199995</v>
      </c>
      <c r="F65" s="24">
        <f t="shared" si="6"/>
        <v>0</v>
      </c>
      <c r="G65" s="25">
        <f t="shared" si="10"/>
        <v>1</v>
      </c>
      <c r="H65" s="26" t="s">
        <v>1246</v>
      </c>
      <c r="I65" s="27" t="s">
        <v>1246</v>
      </c>
      <c r="J65" s="28" t="e">
        <f t="shared" si="7"/>
        <v>#VALUE!</v>
      </c>
      <c r="K65" s="29" t="e">
        <f t="shared" si="11"/>
        <v>#VALUE!</v>
      </c>
      <c r="L65" s="26">
        <v>4592720.1727</v>
      </c>
      <c r="M65" s="27">
        <v>5.1173363280000004</v>
      </c>
      <c r="N65" s="28">
        <f t="shared" si="8"/>
        <v>0.13791076628206403</v>
      </c>
      <c r="O65" s="29">
        <v>0</v>
      </c>
    </row>
    <row r="66" spans="2:15" x14ac:dyDescent="0.25">
      <c r="B66" s="43" t="s">
        <v>1165</v>
      </c>
      <c r="C66" s="65">
        <f t="shared" si="9"/>
        <v>3232142.1159999999</v>
      </c>
      <c r="D66" s="57">
        <v>3232142.1159999999</v>
      </c>
      <c r="E66" s="23">
        <v>1167.9138995339999</v>
      </c>
      <c r="F66" s="24">
        <f t="shared" si="6"/>
        <v>0</v>
      </c>
      <c r="G66" s="25">
        <f t="shared" si="10"/>
        <v>1</v>
      </c>
      <c r="H66" s="26" t="s">
        <v>1246</v>
      </c>
      <c r="I66" s="27" t="s">
        <v>1246</v>
      </c>
      <c r="J66" s="28" t="e">
        <f t="shared" si="7"/>
        <v>#VALUE!</v>
      </c>
      <c r="K66" s="29" t="e">
        <f t="shared" si="11"/>
        <v>#VALUE!</v>
      </c>
      <c r="L66" s="26">
        <v>3943671.1087000002</v>
      </c>
      <c r="M66" s="27">
        <v>6.770959596</v>
      </c>
      <c r="N66" s="28">
        <f t="shared" si="8"/>
        <v>0.22014161728153425</v>
      </c>
      <c r="O66" s="29">
        <v>0</v>
      </c>
    </row>
    <row r="67" spans="2:15" x14ac:dyDescent="0.25">
      <c r="B67" s="43" t="s">
        <v>1166</v>
      </c>
      <c r="C67" s="65">
        <f t="shared" si="9"/>
        <v>3705504.3048999999</v>
      </c>
      <c r="D67" s="57">
        <v>3705504.3048999999</v>
      </c>
      <c r="E67" s="23">
        <v>1118.084102626</v>
      </c>
      <c r="F67" s="24">
        <f t="shared" si="6"/>
        <v>0</v>
      </c>
      <c r="G67" s="25">
        <f t="shared" si="10"/>
        <v>1</v>
      </c>
      <c r="H67" s="26" t="s">
        <v>1246</v>
      </c>
      <c r="I67" s="27" t="s">
        <v>1246</v>
      </c>
      <c r="J67" s="28" t="e">
        <f t="shared" si="7"/>
        <v>#VALUE!</v>
      </c>
      <c r="K67" s="29" t="e">
        <f t="shared" si="11"/>
        <v>#VALUE!</v>
      </c>
      <c r="L67" s="26">
        <v>4550233.5421000002</v>
      </c>
      <c r="M67" s="27">
        <v>6.8369153789999997</v>
      </c>
      <c r="N67" s="28">
        <f t="shared" si="8"/>
        <v>0.22796606553201587</v>
      </c>
      <c r="O67" s="29">
        <v>0</v>
      </c>
    </row>
    <row r="68" spans="2:15" x14ac:dyDescent="0.25">
      <c r="B68" s="43" t="s">
        <v>1167</v>
      </c>
      <c r="C68" s="65">
        <f t="shared" si="9"/>
        <v>3795357.3188</v>
      </c>
      <c r="D68" s="57">
        <v>3795357.3188</v>
      </c>
      <c r="E68" s="23">
        <v>1218.143198777</v>
      </c>
      <c r="F68" s="24">
        <f t="shared" si="6"/>
        <v>0</v>
      </c>
      <c r="G68" s="25">
        <f t="shared" si="10"/>
        <v>1</v>
      </c>
      <c r="H68" s="26" t="s">
        <v>1246</v>
      </c>
      <c r="I68" s="27" t="s">
        <v>1246</v>
      </c>
      <c r="J68" s="28" t="e">
        <f t="shared" si="7"/>
        <v>#VALUE!</v>
      </c>
      <c r="K68" s="29" t="e">
        <f t="shared" si="11"/>
        <v>#VALUE!</v>
      </c>
      <c r="L68" s="26">
        <v>4533401.2101999996</v>
      </c>
      <c r="M68" s="27">
        <v>7.2547920169999998</v>
      </c>
      <c r="N68" s="28">
        <f t="shared" si="8"/>
        <v>0.19445965936966145</v>
      </c>
      <c r="O68" s="29">
        <v>0</v>
      </c>
    </row>
    <row r="69" spans="2:15" x14ac:dyDescent="0.25">
      <c r="B69" s="43" t="s">
        <v>1168</v>
      </c>
      <c r="C69" s="65">
        <f t="shared" si="9"/>
        <v>3116439.8719000001</v>
      </c>
      <c r="D69" s="57">
        <v>3116439.8719000001</v>
      </c>
      <c r="E69" s="23">
        <v>1573.2639438169999</v>
      </c>
      <c r="F69" s="24">
        <f t="shared" si="6"/>
        <v>0</v>
      </c>
      <c r="G69" s="25">
        <f t="shared" si="10"/>
        <v>1</v>
      </c>
      <c r="H69" s="26" t="s">
        <v>1246</v>
      </c>
      <c r="I69" s="27" t="s">
        <v>1246</v>
      </c>
      <c r="J69" s="28" t="e">
        <f t="shared" si="7"/>
        <v>#VALUE!</v>
      </c>
      <c r="K69" s="29" t="e">
        <f t="shared" si="11"/>
        <v>#VALUE!</v>
      </c>
      <c r="L69" s="26">
        <v>3897688.0773</v>
      </c>
      <c r="M69" s="27">
        <v>10.358904273</v>
      </c>
      <c r="N69" s="28">
        <f t="shared" si="8"/>
        <v>0.25068611541146024</v>
      </c>
      <c r="O69" s="29">
        <v>0</v>
      </c>
    </row>
    <row r="70" spans="2:15" x14ac:dyDescent="0.25">
      <c r="B70" s="43" t="s">
        <v>1169</v>
      </c>
      <c r="C70" s="65">
        <f t="shared" si="9"/>
        <v>3531294.4778999998</v>
      </c>
      <c r="D70" s="57">
        <v>3531294.4778999998</v>
      </c>
      <c r="E70" s="23">
        <v>1581.6431727009999</v>
      </c>
      <c r="F70" s="24">
        <f t="shared" si="6"/>
        <v>0</v>
      </c>
      <c r="G70" s="25">
        <f t="shared" si="10"/>
        <v>1</v>
      </c>
      <c r="H70" s="26" t="s">
        <v>1246</v>
      </c>
      <c r="I70" s="27" t="s">
        <v>1246</v>
      </c>
      <c r="J70" s="28" t="e">
        <f t="shared" si="7"/>
        <v>#VALUE!</v>
      </c>
      <c r="K70" s="29" t="e">
        <f t="shared" si="11"/>
        <v>#VALUE!</v>
      </c>
      <c r="L70" s="26">
        <v>4472202.2456999999</v>
      </c>
      <c r="M70" s="27">
        <v>7.4408493020000002</v>
      </c>
      <c r="N70" s="28">
        <f t="shared" si="8"/>
        <v>0.26644840119919472</v>
      </c>
      <c r="O70" s="29">
        <v>0</v>
      </c>
    </row>
    <row r="71" spans="2:15" x14ac:dyDescent="0.25">
      <c r="B71" s="43" t="s">
        <v>1170</v>
      </c>
      <c r="C71" s="65">
        <f t="shared" si="9"/>
        <v>3690931.338</v>
      </c>
      <c r="D71" s="57">
        <v>3690931.338</v>
      </c>
      <c r="E71" s="23">
        <v>1567.9297095330001</v>
      </c>
      <c r="F71" s="24">
        <f t="shared" si="6"/>
        <v>0</v>
      </c>
      <c r="G71" s="25">
        <f t="shared" si="10"/>
        <v>1</v>
      </c>
      <c r="H71" s="26" t="s">
        <v>1246</v>
      </c>
      <c r="I71" s="27" t="s">
        <v>1246</v>
      </c>
      <c r="J71" s="28" t="e">
        <f t="shared" si="7"/>
        <v>#VALUE!</v>
      </c>
      <c r="K71" s="29" t="e">
        <f t="shared" si="11"/>
        <v>#VALUE!</v>
      </c>
      <c r="L71" s="26">
        <v>4275016.4302000003</v>
      </c>
      <c r="M71" s="27">
        <v>7.7004973029999997</v>
      </c>
      <c r="N71" s="28">
        <f t="shared" si="8"/>
        <v>0.15824870167227162</v>
      </c>
      <c r="O71" s="29">
        <v>0</v>
      </c>
    </row>
    <row r="72" spans="2:15" x14ac:dyDescent="0.25">
      <c r="B72" s="43" t="s">
        <v>1171</v>
      </c>
      <c r="C72" s="65">
        <f t="shared" si="9"/>
        <v>2703257.8905000002</v>
      </c>
      <c r="D72" s="57">
        <v>2703257.8905000002</v>
      </c>
      <c r="E72" s="23">
        <v>3602.6966934339998</v>
      </c>
      <c r="F72" s="24">
        <f t="shared" si="6"/>
        <v>0</v>
      </c>
      <c r="G72" s="25">
        <f t="shared" si="10"/>
        <v>1</v>
      </c>
      <c r="H72" s="26" t="s">
        <v>1246</v>
      </c>
      <c r="I72" s="27" t="s">
        <v>1246</v>
      </c>
      <c r="J72" s="28" t="e">
        <f t="shared" si="7"/>
        <v>#VALUE!</v>
      </c>
      <c r="K72" s="29" t="e">
        <f t="shared" si="11"/>
        <v>#VALUE!</v>
      </c>
      <c r="L72" s="26">
        <v>4089403.6904000002</v>
      </c>
      <c r="M72" s="27">
        <v>17.793303006999999</v>
      </c>
      <c r="N72" s="28">
        <f t="shared" si="8"/>
        <v>0.51276861329853196</v>
      </c>
      <c r="O72" s="29">
        <v>0</v>
      </c>
    </row>
    <row r="73" spans="2:15" x14ac:dyDescent="0.25">
      <c r="B73" s="43" t="s">
        <v>1172</v>
      </c>
      <c r="C73" s="65">
        <f t="shared" si="9"/>
        <v>3142583.6860000002</v>
      </c>
      <c r="D73" s="57">
        <v>3142583.6860000002</v>
      </c>
      <c r="E73" s="23">
        <v>3613.5192429260001</v>
      </c>
      <c r="F73" s="24">
        <f t="shared" si="6"/>
        <v>0</v>
      </c>
      <c r="G73" s="25">
        <f t="shared" si="10"/>
        <v>1</v>
      </c>
      <c r="H73" s="26" t="s">
        <v>1246</v>
      </c>
      <c r="I73" s="27" t="s">
        <v>1246</v>
      </c>
      <c r="J73" s="28" t="e">
        <f t="shared" si="7"/>
        <v>#VALUE!</v>
      </c>
      <c r="K73" s="29" t="e">
        <f t="shared" si="11"/>
        <v>#VALUE!</v>
      </c>
      <c r="L73" s="26">
        <v>3933155.4027999998</v>
      </c>
      <c r="M73" s="27">
        <v>14.813477578000001</v>
      </c>
      <c r="N73" s="28">
        <f t="shared" si="8"/>
        <v>0.25156743488548727</v>
      </c>
      <c r="O73" s="29">
        <v>0</v>
      </c>
    </row>
    <row r="74" spans="2:15" x14ac:dyDescent="0.25">
      <c r="B74" s="43" t="s">
        <v>1173</v>
      </c>
      <c r="C74" s="65">
        <f t="shared" si="9"/>
        <v>2644968.8188999998</v>
      </c>
      <c r="D74" s="57">
        <v>2644968.8188999998</v>
      </c>
      <c r="E74" s="23">
        <v>3617.0349903669999</v>
      </c>
      <c r="F74" s="24">
        <f t="shared" si="6"/>
        <v>0</v>
      </c>
      <c r="G74" s="25">
        <f t="shared" si="10"/>
        <v>1</v>
      </c>
      <c r="H74" s="26" t="s">
        <v>1246</v>
      </c>
      <c r="I74" s="27" t="s">
        <v>1246</v>
      </c>
      <c r="J74" s="28" t="e">
        <f t="shared" si="7"/>
        <v>#VALUE!</v>
      </c>
      <c r="K74" s="29" t="e">
        <f t="shared" si="11"/>
        <v>#VALUE!</v>
      </c>
      <c r="L74" s="26">
        <v>3524852.8794999998</v>
      </c>
      <c r="M74" s="27">
        <v>14.685314272999999</v>
      </c>
      <c r="N74" s="28">
        <f t="shared" si="8"/>
        <v>0.33266330185545617</v>
      </c>
      <c r="O74" s="29">
        <v>0</v>
      </c>
    </row>
    <row r="75" spans="2:15" x14ac:dyDescent="0.25">
      <c r="B75" s="43" t="s">
        <v>1174</v>
      </c>
      <c r="C75" s="65">
        <f t="shared" si="9"/>
        <v>4379989.0762999998</v>
      </c>
      <c r="D75" s="57">
        <v>4379989.0762999998</v>
      </c>
      <c r="E75" s="23">
        <v>423.486007599</v>
      </c>
      <c r="F75" s="24">
        <f t="shared" si="6"/>
        <v>0</v>
      </c>
      <c r="G75" s="25">
        <f t="shared" si="10"/>
        <v>1</v>
      </c>
      <c r="H75" s="26" t="s">
        <v>1246</v>
      </c>
      <c r="I75" s="27" t="s">
        <v>1246</v>
      </c>
      <c r="J75" s="28" t="e">
        <f t="shared" si="7"/>
        <v>#VALUE!</v>
      </c>
      <c r="K75" s="29" t="e">
        <f t="shared" si="11"/>
        <v>#VALUE!</v>
      </c>
      <c r="L75" s="26">
        <v>4592798.9178999998</v>
      </c>
      <c r="M75" s="27">
        <v>4.6196173009999999</v>
      </c>
      <c r="N75" s="28">
        <f t="shared" si="8"/>
        <v>4.8586843001848595E-2</v>
      </c>
      <c r="O75" s="29">
        <v>0</v>
      </c>
    </row>
    <row r="76" spans="2:15" x14ac:dyDescent="0.25">
      <c r="B76" s="43" t="s">
        <v>1175</v>
      </c>
      <c r="C76" s="65">
        <f t="shared" si="9"/>
        <v>4278630.8706999999</v>
      </c>
      <c r="D76" s="57">
        <v>4278630.8706999999</v>
      </c>
      <c r="E76" s="23">
        <v>485.84307549200003</v>
      </c>
      <c r="F76" s="24">
        <f t="shared" si="6"/>
        <v>0</v>
      </c>
      <c r="G76" s="25">
        <f t="shared" si="10"/>
        <v>1</v>
      </c>
      <c r="H76" s="26" t="s">
        <v>1246</v>
      </c>
      <c r="I76" s="27" t="s">
        <v>1246</v>
      </c>
      <c r="J76" s="28" t="e">
        <f t="shared" si="7"/>
        <v>#VALUE!</v>
      </c>
      <c r="K76" s="29" t="e">
        <f t="shared" si="11"/>
        <v>#VALUE!</v>
      </c>
      <c r="L76" s="26">
        <v>4877080.4686000003</v>
      </c>
      <c r="M76" s="27">
        <v>5.3933478509999997</v>
      </c>
      <c r="N76" s="28">
        <f t="shared" si="8"/>
        <v>0.13986941523705032</v>
      </c>
      <c r="O76" s="29">
        <v>0</v>
      </c>
    </row>
    <row r="77" spans="2:15" x14ac:dyDescent="0.25">
      <c r="B77" s="43" t="s">
        <v>1176</v>
      </c>
      <c r="C77" s="65">
        <f t="shared" si="9"/>
        <v>3943731.8563999999</v>
      </c>
      <c r="D77" s="57">
        <v>3943731.8563999999</v>
      </c>
      <c r="E77" s="23">
        <v>443.01324698899998</v>
      </c>
      <c r="F77" s="24">
        <f t="shared" si="6"/>
        <v>0</v>
      </c>
      <c r="G77" s="25">
        <f t="shared" si="10"/>
        <v>1</v>
      </c>
      <c r="H77" s="26" t="s">
        <v>1246</v>
      </c>
      <c r="I77" s="27" t="s">
        <v>1246</v>
      </c>
      <c r="J77" s="28" t="e">
        <f t="shared" si="7"/>
        <v>#VALUE!</v>
      </c>
      <c r="K77" s="29" t="e">
        <f t="shared" si="11"/>
        <v>#VALUE!</v>
      </c>
      <c r="L77" s="26">
        <v>4260655.8936000001</v>
      </c>
      <c r="M77" s="27">
        <v>5.0179269580000003</v>
      </c>
      <c r="N77" s="28">
        <f t="shared" si="8"/>
        <v>8.0361456797750294E-2</v>
      </c>
      <c r="O77" s="29">
        <v>0</v>
      </c>
    </row>
    <row r="78" spans="2:15" x14ac:dyDescent="0.25">
      <c r="B78" s="43" t="s">
        <v>1177</v>
      </c>
      <c r="C78" s="65">
        <f t="shared" si="9"/>
        <v>3989338.3232999998</v>
      </c>
      <c r="D78" s="57">
        <v>3989338.3232999998</v>
      </c>
      <c r="E78" s="23">
        <v>821.18349236300003</v>
      </c>
      <c r="F78" s="24">
        <f t="shared" si="6"/>
        <v>0</v>
      </c>
      <c r="G78" s="25">
        <f t="shared" si="10"/>
        <v>1</v>
      </c>
      <c r="H78" s="26" t="s">
        <v>1246</v>
      </c>
      <c r="I78" s="27" t="s">
        <v>1246</v>
      </c>
      <c r="J78" s="28" t="e">
        <f t="shared" si="7"/>
        <v>#VALUE!</v>
      </c>
      <c r="K78" s="29" t="e">
        <f t="shared" si="11"/>
        <v>#VALUE!</v>
      </c>
      <c r="L78" s="26">
        <v>4401916.3524000002</v>
      </c>
      <c r="M78" s="27">
        <v>6.2066042890000004</v>
      </c>
      <c r="N78" s="28">
        <f t="shared" si="8"/>
        <v>0.10342016536685057</v>
      </c>
      <c r="O78" s="29">
        <v>0</v>
      </c>
    </row>
    <row r="79" spans="2:15" x14ac:dyDescent="0.25">
      <c r="B79" s="43" t="s">
        <v>1178</v>
      </c>
      <c r="C79" s="65">
        <f t="shared" si="9"/>
        <v>4115533.8793000001</v>
      </c>
      <c r="D79" s="57">
        <v>4115533.8793000001</v>
      </c>
      <c r="E79" s="23">
        <v>881.59368470000004</v>
      </c>
      <c r="F79" s="24">
        <f t="shared" si="6"/>
        <v>0</v>
      </c>
      <c r="G79" s="25">
        <f t="shared" si="10"/>
        <v>1</v>
      </c>
      <c r="H79" s="26" t="s">
        <v>1246</v>
      </c>
      <c r="I79" s="27" t="s">
        <v>1246</v>
      </c>
      <c r="J79" s="28" t="e">
        <f t="shared" si="7"/>
        <v>#VALUE!</v>
      </c>
      <c r="K79" s="29" t="e">
        <f t="shared" si="11"/>
        <v>#VALUE!</v>
      </c>
      <c r="L79" s="26">
        <v>4173275.3202999998</v>
      </c>
      <c r="M79" s="27">
        <v>5.5067003139999997</v>
      </c>
      <c r="N79" s="28">
        <f t="shared" si="8"/>
        <v>1.4030121654549647E-2</v>
      </c>
      <c r="O79" s="29">
        <v>0</v>
      </c>
    </row>
    <row r="80" spans="2:15" x14ac:dyDescent="0.25">
      <c r="B80" s="43" t="s">
        <v>1179</v>
      </c>
      <c r="C80" s="65">
        <f t="shared" si="9"/>
        <v>3675664.0767999999</v>
      </c>
      <c r="D80" s="57">
        <v>3675664.0767999999</v>
      </c>
      <c r="E80" s="23">
        <v>893.92872763800005</v>
      </c>
      <c r="F80" s="24">
        <f t="shared" si="6"/>
        <v>0</v>
      </c>
      <c r="G80" s="25">
        <f t="shared" si="10"/>
        <v>1</v>
      </c>
      <c r="H80" s="26" t="s">
        <v>1246</v>
      </c>
      <c r="I80" s="27" t="s">
        <v>1246</v>
      </c>
      <c r="J80" s="28" t="e">
        <f t="shared" si="7"/>
        <v>#VALUE!</v>
      </c>
      <c r="K80" s="29" t="e">
        <f t="shared" si="11"/>
        <v>#VALUE!</v>
      </c>
      <c r="L80" s="26">
        <v>4067170.1614999999</v>
      </c>
      <c r="M80" s="27">
        <v>5.3230941390000002</v>
      </c>
      <c r="N80" s="28">
        <f t="shared" si="8"/>
        <v>0.10651302091807086</v>
      </c>
      <c r="O80" s="29">
        <v>0</v>
      </c>
    </row>
    <row r="81" spans="2:15" x14ac:dyDescent="0.25">
      <c r="B81" s="43" t="s">
        <v>1180</v>
      </c>
      <c r="C81" s="65">
        <f t="shared" si="9"/>
        <v>3637525.4306999999</v>
      </c>
      <c r="D81" s="57">
        <v>3637525.4306999999</v>
      </c>
      <c r="E81" s="23">
        <v>1253.5880775749999</v>
      </c>
      <c r="F81" s="24">
        <f t="shared" si="6"/>
        <v>0</v>
      </c>
      <c r="G81" s="25">
        <f t="shared" si="10"/>
        <v>1</v>
      </c>
      <c r="H81" s="26" t="s">
        <v>1246</v>
      </c>
      <c r="I81" s="27" t="s">
        <v>1246</v>
      </c>
      <c r="J81" s="28" t="e">
        <f t="shared" si="7"/>
        <v>#VALUE!</v>
      </c>
      <c r="K81" s="29" t="e">
        <f t="shared" si="11"/>
        <v>#VALUE!</v>
      </c>
      <c r="L81" s="26">
        <v>4299011.1228</v>
      </c>
      <c r="M81" s="27">
        <v>7.489106348</v>
      </c>
      <c r="N81" s="28">
        <f t="shared" si="8"/>
        <v>0.18185046529632229</v>
      </c>
      <c r="O81" s="29">
        <v>0</v>
      </c>
    </row>
    <row r="82" spans="2:15" x14ac:dyDescent="0.25">
      <c r="B82" s="43" t="s">
        <v>1181</v>
      </c>
      <c r="C82" s="65">
        <f t="shared" si="9"/>
        <v>4041946.5521999998</v>
      </c>
      <c r="D82" s="57">
        <v>4041946.5521999998</v>
      </c>
      <c r="E82" s="23">
        <v>1223.8393203830001</v>
      </c>
      <c r="F82" s="24">
        <f t="shared" si="6"/>
        <v>0</v>
      </c>
      <c r="G82" s="25">
        <f t="shared" si="10"/>
        <v>1</v>
      </c>
      <c r="H82" s="26" t="s">
        <v>1246</v>
      </c>
      <c r="I82" s="27" t="s">
        <v>1246</v>
      </c>
      <c r="J82" s="28" t="e">
        <f t="shared" si="7"/>
        <v>#VALUE!</v>
      </c>
      <c r="K82" s="29" t="e">
        <f t="shared" si="11"/>
        <v>#VALUE!</v>
      </c>
      <c r="L82" s="26">
        <v>4230450.0142999999</v>
      </c>
      <c r="M82" s="27">
        <v>6.2303419699999996</v>
      </c>
      <c r="N82" s="28">
        <f t="shared" si="8"/>
        <v>4.6636802259891134E-2</v>
      </c>
      <c r="O82" s="29">
        <v>0</v>
      </c>
    </row>
    <row r="83" spans="2:15" x14ac:dyDescent="0.25">
      <c r="B83" s="43" t="s">
        <v>1182</v>
      </c>
      <c r="C83" s="65">
        <f t="shared" si="9"/>
        <v>3463970.6068000002</v>
      </c>
      <c r="D83" s="57">
        <v>3463970.6068000002</v>
      </c>
      <c r="E83" s="23">
        <v>1119.9728833009999</v>
      </c>
      <c r="F83" s="24">
        <f t="shared" si="6"/>
        <v>0</v>
      </c>
      <c r="G83" s="25">
        <f t="shared" si="10"/>
        <v>1</v>
      </c>
      <c r="H83" s="26" t="s">
        <v>1246</v>
      </c>
      <c r="I83" s="27" t="s">
        <v>1246</v>
      </c>
      <c r="J83" s="28" t="e">
        <f t="shared" si="7"/>
        <v>#VALUE!</v>
      </c>
      <c r="K83" s="29" t="e">
        <f t="shared" si="11"/>
        <v>#VALUE!</v>
      </c>
      <c r="L83" s="26">
        <v>4035183.8848000001</v>
      </c>
      <c r="M83" s="27">
        <v>6.8952070189999999</v>
      </c>
      <c r="N83" s="28">
        <f t="shared" si="8"/>
        <v>0.1649013062866847</v>
      </c>
      <c r="O83" s="29">
        <v>0</v>
      </c>
    </row>
    <row r="84" spans="2:15" x14ac:dyDescent="0.25">
      <c r="B84" s="43" t="s">
        <v>1183</v>
      </c>
      <c r="C84" s="65">
        <f t="shared" si="9"/>
        <v>3431930.7167000002</v>
      </c>
      <c r="D84" s="57">
        <v>3431930.7167000002</v>
      </c>
      <c r="E84" s="23">
        <v>1780.0068090530001</v>
      </c>
      <c r="F84" s="24">
        <f t="shared" si="6"/>
        <v>0</v>
      </c>
      <c r="G84" s="25">
        <f t="shared" si="10"/>
        <v>1</v>
      </c>
      <c r="H84" s="26" t="s">
        <v>1246</v>
      </c>
      <c r="I84" s="27" t="s">
        <v>1246</v>
      </c>
      <c r="J84" s="28" t="e">
        <f t="shared" si="7"/>
        <v>#VALUE!</v>
      </c>
      <c r="K84" s="29" t="e">
        <f t="shared" si="11"/>
        <v>#VALUE!</v>
      </c>
      <c r="L84" s="26">
        <v>4174993.3594999998</v>
      </c>
      <c r="M84" s="27">
        <v>8.1228545299999997</v>
      </c>
      <c r="N84" s="28">
        <f t="shared" si="8"/>
        <v>0.21651446492908727</v>
      </c>
      <c r="O84" s="29">
        <v>0</v>
      </c>
    </row>
    <row r="85" spans="2:15" x14ac:dyDescent="0.25">
      <c r="B85" s="43" t="s">
        <v>1184</v>
      </c>
      <c r="C85" s="65">
        <f t="shared" si="9"/>
        <v>3790804.2952000001</v>
      </c>
      <c r="D85" s="57">
        <v>3790804.2952000001</v>
      </c>
      <c r="E85" s="23">
        <v>1550.712100687</v>
      </c>
      <c r="F85" s="24">
        <f t="shared" si="6"/>
        <v>0</v>
      </c>
      <c r="G85" s="25">
        <f t="shared" si="10"/>
        <v>1</v>
      </c>
      <c r="H85" s="26" t="s">
        <v>1246</v>
      </c>
      <c r="I85" s="27" t="s">
        <v>1246</v>
      </c>
      <c r="J85" s="28" t="e">
        <f t="shared" si="7"/>
        <v>#VALUE!</v>
      </c>
      <c r="K85" s="29" t="e">
        <f t="shared" si="11"/>
        <v>#VALUE!</v>
      </c>
      <c r="L85" s="26">
        <v>4332096.1047</v>
      </c>
      <c r="M85" s="27">
        <v>8.3070206029999998</v>
      </c>
      <c r="N85" s="28">
        <f t="shared" si="8"/>
        <v>0.14279075556218918</v>
      </c>
      <c r="O85" s="29">
        <v>0</v>
      </c>
    </row>
    <row r="86" spans="2:15" x14ac:dyDescent="0.25">
      <c r="B86" s="43" t="s">
        <v>1185</v>
      </c>
      <c r="C86" s="65">
        <f t="shared" si="9"/>
        <v>3285018.6595000001</v>
      </c>
      <c r="D86" s="57">
        <v>3285018.6595000001</v>
      </c>
      <c r="E86" s="23">
        <v>1543.984643687</v>
      </c>
      <c r="F86" s="24">
        <f t="shared" si="6"/>
        <v>0</v>
      </c>
      <c r="G86" s="25">
        <f t="shared" si="10"/>
        <v>1</v>
      </c>
      <c r="H86" s="26" t="s">
        <v>1246</v>
      </c>
      <c r="I86" s="27" t="s">
        <v>1246</v>
      </c>
      <c r="J86" s="28" t="e">
        <f t="shared" si="7"/>
        <v>#VALUE!</v>
      </c>
      <c r="K86" s="29" t="e">
        <f t="shared" si="11"/>
        <v>#VALUE!</v>
      </c>
      <c r="L86" s="26">
        <v>3983820.7041000002</v>
      </c>
      <c r="M86" s="27">
        <v>7.6897542420000002</v>
      </c>
      <c r="N86" s="28">
        <f t="shared" si="8"/>
        <v>0.21272391941492413</v>
      </c>
      <c r="O86" s="29">
        <v>0</v>
      </c>
    </row>
    <row r="87" spans="2:15" x14ac:dyDescent="0.25">
      <c r="B87" s="43" t="s">
        <v>1186</v>
      </c>
      <c r="C87" s="65">
        <f t="shared" si="9"/>
        <v>2580112.9194999998</v>
      </c>
      <c r="D87" s="57">
        <v>2580112.9194999998</v>
      </c>
      <c r="E87" s="23">
        <v>3614.2420964110001</v>
      </c>
      <c r="F87" s="24">
        <f t="shared" si="6"/>
        <v>0</v>
      </c>
      <c r="G87" s="25">
        <f t="shared" si="10"/>
        <v>1</v>
      </c>
      <c r="H87" s="26" t="s">
        <v>1246</v>
      </c>
      <c r="I87" s="27" t="s">
        <v>1246</v>
      </c>
      <c r="J87" s="28" t="e">
        <f t="shared" si="7"/>
        <v>#VALUE!</v>
      </c>
      <c r="K87" s="29" t="e">
        <f t="shared" si="11"/>
        <v>#VALUE!</v>
      </c>
      <c r="L87" s="26">
        <v>3648434.0307999998</v>
      </c>
      <c r="M87" s="27">
        <v>15.829391718</v>
      </c>
      <c r="N87" s="28">
        <f t="shared" si="8"/>
        <v>0.41405982785708073</v>
      </c>
      <c r="O87" s="29">
        <v>0</v>
      </c>
    </row>
    <row r="88" spans="2:15" x14ac:dyDescent="0.25">
      <c r="B88" s="43" t="s">
        <v>1187</v>
      </c>
      <c r="C88" s="65">
        <f t="shared" si="9"/>
        <v>2847803.4621000001</v>
      </c>
      <c r="D88" s="57">
        <v>2847803.4621000001</v>
      </c>
      <c r="E88" s="23">
        <v>3612.6142871709999</v>
      </c>
      <c r="F88" s="24">
        <f t="shared" si="6"/>
        <v>0</v>
      </c>
      <c r="G88" s="25">
        <f t="shared" si="10"/>
        <v>1</v>
      </c>
      <c r="H88" s="26" t="s">
        <v>1246</v>
      </c>
      <c r="I88" s="27" t="s">
        <v>1246</v>
      </c>
      <c r="J88" s="28" t="e">
        <f t="shared" si="7"/>
        <v>#VALUE!</v>
      </c>
      <c r="K88" s="29" t="e">
        <f t="shared" si="11"/>
        <v>#VALUE!</v>
      </c>
      <c r="L88" s="26">
        <v>3577052.2193</v>
      </c>
      <c r="M88" s="27">
        <v>14.311049604999999</v>
      </c>
      <c r="N88" s="28">
        <f t="shared" si="8"/>
        <v>0.25607411708891042</v>
      </c>
      <c r="O88" s="29">
        <v>0</v>
      </c>
    </row>
    <row r="89" spans="2:15" x14ac:dyDescent="0.25">
      <c r="B89" s="43" t="s">
        <v>1188</v>
      </c>
      <c r="C89" s="65">
        <f t="shared" si="9"/>
        <v>2838893.0112000001</v>
      </c>
      <c r="D89" s="57">
        <v>2838893.0112000001</v>
      </c>
      <c r="E89" s="23">
        <v>3600.7883147289999</v>
      </c>
      <c r="F89" s="24">
        <f t="shared" si="6"/>
        <v>0</v>
      </c>
      <c r="G89" s="25">
        <f t="shared" si="10"/>
        <v>1</v>
      </c>
      <c r="H89" s="26" t="s">
        <v>1246</v>
      </c>
      <c r="I89" s="27" t="s">
        <v>1246</v>
      </c>
      <c r="J89" s="28" t="e">
        <f t="shared" si="7"/>
        <v>#VALUE!</v>
      </c>
      <c r="K89" s="29" t="e">
        <f t="shared" si="11"/>
        <v>#VALUE!</v>
      </c>
      <c r="L89" s="26">
        <v>3764526.2629999998</v>
      </c>
      <c r="M89" s="27">
        <v>15.605473355999999</v>
      </c>
      <c r="N89" s="28">
        <f t="shared" si="8"/>
        <v>0.3260542923414837</v>
      </c>
      <c r="O89" s="29">
        <v>0</v>
      </c>
    </row>
    <row r="90" spans="2:15" x14ac:dyDescent="0.25">
      <c r="B90" s="43" t="s">
        <v>1189</v>
      </c>
      <c r="C90" s="65">
        <f t="shared" si="9"/>
        <v>3882969.9161</v>
      </c>
      <c r="D90" s="57">
        <v>3882969.9161</v>
      </c>
      <c r="E90" s="23">
        <v>393.29062151800002</v>
      </c>
      <c r="F90" s="24">
        <f t="shared" si="6"/>
        <v>0</v>
      </c>
      <c r="G90" s="25">
        <f t="shared" si="10"/>
        <v>1</v>
      </c>
      <c r="H90" s="26" t="s">
        <v>1246</v>
      </c>
      <c r="I90" s="27" t="s">
        <v>1246</v>
      </c>
      <c r="J90" s="28" t="e">
        <f t="shared" si="7"/>
        <v>#VALUE!</v>
      </c>
      <c r="K90" s="29" t="e">
        <f t="shared" si="11"/>
        <v>#VALUE!</v>
      </c>
      <c r="L90" s="26">
        <v>5256471.3702999996</v>
      </c>
      <c r="M90" s="27">
        <v>4.0237144929999999</v>
      </c>
      <c r="N90" s="28">
        <f t="shared" si="8"/>
        <v>0.35372446448916217</v>
      </c>
      <c r="O90" s="29">
        <v>0</v>
      </c>
    </row>
    <row r="91" spans="2:15" x14ac:dyDescent="0.25">
      <c r="B91" s="43" t="s">
        <v>1190</v>
      </c>
      <c r="C91" s="65">
        <f t="shared" si="9"/>
        <v>4174692.0836</v>
      </c>
      <c r="D91" s="57">
        <v>4174692.0836</v>
      </c>
      <c r="E91" s="23">
        <v>381.46052026900003</v>
      </c>
      <c r="F91" s="24">
        <f t="shared" si="6"/>
        <v>0</v>
      </c>
      <c r="G91" s="25">
        <f t="shared" si="10"/>
        <v>1</v>
      </c>
      <c r="H91" s="26" t="s">
        <v>1246</v>
      </c>
      <c r="I91" s="27" t="s">
        <v>1246</v>
      </c>
      <c r="J91" s="28" t="e">
        <f t="shared" si="7"/>
        <v>#VALUE!</v>
      </c>
      <c r="K91" s="29" t="e">
        <f t="shared" si="11"/>
        <v>#VALUE!</v>
      </c>
      <c r="L91" s="26">
        <v>4907096.0158000002</v>
      </c>
      <c r="M91" s="27">
        <v>5.927491066</v>
      </c>
      <c r="N91" s="28">
        <f t="shared" si="8"/>
        <v>0.1754390305999334</v>
      </c>
      <c r="O91" s="29">
        <v>0</v>
      </c>
    </row>
    <row r="92" spans="2:15" x14ac:dyDescent="0.25">
      <c r="B92" s="43" t="s">
        <v>1191</v>
      </c>
      <c r="C92" s="65">
        <f t="shared" si="9"/>
        <v>4071812.5833000001</v>
      </c>
      <c r="D92" s="57">
        <v>4071812.5833000001</v>
      </c>
      <c r="E92" s="23">
        <v>394.649075799</v>
      </c>
      <c r="F92" s="24">
        <f t="shared" si="6"/>
        <v>0</v>
      </c>
      <c r="G92" s="25">
        <f t="shared" si="10"/>
        <v>1</v>
      </c>
      <c r="H92" s="26" t="s">
        <v>1246</v>
      </c>
      <c r="I92" s="27" t="s">
        <v>1246</v>
      </c>
      <c r="J92" s="28" t="e">
        <f t="shared" si="7"/>
        <v>#VALUE!</v>
      </c>
      <c r="K92" s="29" t="e">
        <f t="shared" si="11"/>
        <v>#VALUE!</v>
      </c>
      <c r="L92" s="26">
        <v>4728407.2744000005</v>
      </c>
      <c r="M92" s="27">
        <v>4.2481513629999998</v>
      </c>
      <c r="N92" s="28">
        <f t="shared" si="8"/>
        <v>0.16125366226160226</v>
      </c>
      <c r="O92" s="29">
        <v>0</v>
      </c>
    </row>
    <row r="93" spans="2:15" x14ac:dyDescent="0.25">
      <c r="B93" s="43" t="s">
        <v>1192</v>
      </c>
      <c r="C93" s="65">
        <f t="shared" si="9"/>
        <v>3520757.1913000001</v>
      </c>
      <c r="D93" s="57">
        <v>3520757.1913000001</v>
      </c>
      <c r="E93" s="23">
        <v>668.84343326299995</v>
      </c>
      <c r="F93" s="24">
        <f t="shared" si="6"/>
        <v>0</v>
      </c>
      <c r="G93" s="25">
        <f t="shared" si="10"/>
        <v>1</v>
      </c>
      <c r="H93" s="26" t="s">
        <v>1246</v>
      </c>
      <c r="I93" s="27" t="s">
        <v>1246</v>
      </c>
      <c r="J93" s="28" t="e">
        <f t="shared" si="7"/>
        <v>#VALUE!</v>
      </c>
      <c r="K93" s="29" t="e">
        <f t="shared" si="11"/>
        <v>#VALUE!</v>
      </c>
      <c r="L93" s="26">
        <v>3973244.0602000002</v>
      </c>
      <c r="M93" s="27">
        <v>6.4443760579999996</v>
      </c>
      <c r="N93" s="28">
        <f t="shared" si="8"/>
        <v>0.12851975990225115</v>
      </c>
      <c r="O93" s="29">
        <v>0</v>
      </c>
    </row>
    <row r="94" spans="2:15" x14ac:dyDescent="0.25">
      <c r="B94" s="43" t="s">
        <v>1193</v>
      </c>
      <c r="C94" s="65">
        <f t="shared" si="9"/>
        <v>3924092.9791000001</v>
      </c>
      <c r="D94" s="57">
        <v>3924092.9791000001</v>
      </c>
      <c r="E94" s="23">
        <v>705.33471516899999</v>
      </c>
      <c r="F94" s="24">
        <f t="shared" si="6"/>
        <v>0</v>
      </c>
      <c r="G94" s="25">
        <f t="shared" si="10"/>
        <v>1</v>
      </c>
      <c r="H94" s="26" t="s">
        <v>1246</v>
      </c>
      <c r="I94" s="27" t="s">
        <v>1246</v>
      </c>
      <c r="J94" s="28" t="e">
        <f t="shared" si="7"/>
        <v>#VALUE!</v>
      </c>
      <c r="K94" s="29" t="e">
        <f t="shared" si="11"/>
        <v>#VALUE!</v>
      </c>
      <c r="L94" s="26">
        <v>4398203.6709000003</v>
      </c>
      <c r="M94" s="27">
        <v>5.4066735259999996</v>
      </c>
      <c r="N94" s="28">
        <f t="shared" si="8"/>
        <v>0.12082045311493576</v>
      </c>
      <c r="O94" s="29">
        <v>0</v>
      </c>
    </row>
    <row r="95" spans="2:15" x14ac:dyDescent="0.25">
      <c r="B95" s="43" t="s">
        <v>1194</v>
      </c>
      <c r="C95" s="65">
        <f t="shared" si="9"/>
        <v>3728381.1228</v>
      </c>
      <c r="D95" s="57">
        <v>3728381.1228</v>
      </c>
      <c r="E95" s="23">
        <v>821.96327712699997</v>
      </c>
      <c r="F95" s="24">
        <f t="shared" si="6"/>
        <v>0</v>
      </c>
      <c r="G95" s="25">
        <f t="shared" si="10"/>
        <v>1</v>
      </c>
      <c r="H95" s="26" t="s">
        <v>1246</v>
      </c>
      <c r="I95" s="27" t="s">
        <v>1246</v>
      </c>
      <c r="J95" s="28" t="e">
        <f t="shared" si="7"/>
        <v>#VALUE!</v>
      </c>
      <c r="K95" s="29" t="e">
        <f t="shared" si="11"/>
        <v>#VALUE!</v>
      </c>
      <c r="L95" s="26">
        <v>4616172.0466</v>
      </c>
      <c r="M95" s="27">
        <v>8.0103008409999994</v>
      </c>
      <c r="N95" s="28">
        <f t="shared" si="8"/>
        <v>0.23811699892238281</v>
      </c>
      <c r="O95" s="29">
        <v>0</v>
      </c>
    </row>
    <row r="96" spans="2:15" x14ac:dyDescent="0.25">
      <c r="B96" s="43" t="s">
        <v>1195</v>
      </c>
      <c r="C96" s="65">
        <f t="shared" si="9"/>
        <v>3261476.2834999999</v>
      </c>
      <c r="D96" s="57">
        <v>3261476.2834999999</v>
      </c>
      <c r="E96" s="23">
        <v>1219.0488468589999</v>
      </c>
      <c r="F96" s="24">
        <f t="shared" si="6"/>
        <v>0</v>
      </c>
      <c r="G96" s="25">
        <f t="shared" si="10"/>
        <v>1</v>
      </c>
      <c r="H96" s="26" t="s">
        <v>1246</v>
      </c>
      <c r="I96" s="27" t="s">
        <v>1246</v>
      </c>
      <c r="J96" s="28" t="e">
        <f t="shared" si="7"/>
        <v>#VALUE!</v>
      </c>
      <c r="K96" s="29" t="e">
        <f t="shared" si="11"/>
        <v>#VALUE!</v>
      </c>
      <c r="L96" s="26">
        <v>3888792.6061</v>
      </c>
      <c r="M96" s="27">
        <v>7.6859676979999998</v>
      </c>
      <c r="N96" s="28">
        <f t="shared" si="8"/>
        <v>0.19234121853763897</v>
      </c>
      <c r="O96" s="29">
        <v>0</v>
      </c>
    </row>
    <row r="97" spans="2:15" x14ac:dyDescent="0.25">
      <c r="B97" s="43" t="s">
        <v>1196</v>
      </c>
      <c r="C97" s="65">
        <f t="shared" si="9"/>
        <v>3684506.3820000002</v>
      </c>
      <c r="D97" s="57">
        <v>3684506.3820000002</v>
      </c>
      <c r="E97" s="23">
        <v>1223.4357607310001</v>
      </c>
      <c r="F97" s="24">
        <f t="shared" si="6"/>
        <v>0</v>
      </c>
      <c r="G97" s="25">
        <f t="shared" si="10"/>
        <v>1</v>
      </c>
      <c r="H97" s="26" t="s">
        <v>1246</v>
      </c>
      <c r="I97" s="27" t="s">
        <v>1246</v>
      </c>
      <c r="J97" s="28" t="e">
        <f t="shared" si="7"/>
        <v>#VALUE!</v>
      </c>
      <c r="K97" s="29" t="e">
        <f t="shared" si="11"/>
        <v>#VALUE!</v>
      </c>
      <c r="L97" s="26">
        <v>4303781.0859000003</v>
      </c>
      <c r="M97" s="27">
        <v>7.4609946880000004</v>
      </c>
      <c r="N97" s="28">
        <f t="shared" si="8"/>
        <v>0.16807535113125502</v>
      </c>
      <c r="O97" s="29">
        <v>0</v>
      </c>
    </row>
    <row r="98" spans="2:15" x14ac:dyDescent="0.25">
      <c r="B98" s="43" t="s">
        <v>1197</v>
      </c>
      <c r="C98" s="65">
        <f t="shared" si="9"/>
        <v>3667136.5462000002</v>
      </c>
      <c r="D98" s="57">
        <v>3667136.5462000002</v>
      </c>
      <c r="E98" s="23">
        <v>1348.521850865</v>
      </c>
      <c r="F98" s="24">
        <f t="shared" si="6"/>
        <v>0</v>
      </c>
      <c r="G98" s="25">
        <f t="shared" si="10"/>
        <v>1</v>
      </c>
      <c r="H98" s="26" t="s">
        <v>1246</v>
      </c>
      <c r="I98" s="27" t="s">
        <v>1246</v>
      </c>
      <c r="J98" s="28" t="e">
        <f t="shared" si="7"/>
        <v>#VALUE!</v>
      </c>
      <c r="K98" s="29" t="e">
        <f t="shared" si="11"/>
        <v>#VALUE!</v>
      </c>
      <c r="L98" s="26">
        <v>4434865.5977999996</v>
      </c>
      <c r="M98" s="27">
        <v>6.9322848930000003</v>
      </c>
      <c r="N98" s="28">
        <f t="shared" si="8"/>
        <v>0.20935382196104585</v>
      </c>
      <c r="O98" s="29">
        <v>0</v>
      </c>
    </row>
    <row r="99" spans="2:15" x14ac:dyDescent="0.25">
      <c r="B99" s="43" t="s">
        <v>1198</v>
      </c>
      <c r="C99" s="65">
        <f t="shared" si="9"/>
        <v>3082215.5447</v>
      </c>
      <c r="D99" s="57">
        <v>3082215.5447</v>
      </c>
      <c r="E99" s="23">
        <v>1908.693580186</v>
      </c>
      <c r="F99" s="24">
        <f t="shared" si="6"/>
        <v>0</v>
      </c>
      <c r="G99" s="25">
        <f t="shared" si="10"/>
        <v>1</v>
      </c>
      <c r="H99" s="26" t="s">
        <v>1246</v>
      </c>
      <c r="I99" s="27" t="s">
        <v>1246</v>
      </c>
      <c r="J99" s="28" t="e">
        <f t="shared" si="7"/>
        <v>#VALUE!</v>
      </c>
      <c r="K99" s="29" t="e">
        <f t="shared" si="11"/>
        <v>#VALUE!</v>
      </c>
      <c r="L99" s="26">
        <v>3860540.9983999999</v>
      </c>
      <c r="M99" s="27">
        <v>7.8667084489999999</v>
      </c>
      <c r="N99" s="28">
        <f t="shared" si="8"/>
        <v>0.25252142246779707</v>
      </c>
      <c r="O99" s="29">
        <v>0</v>
      </c>
    </row>
    <row r="100" spans="2:15" x14ac:dyDescent="0.25">
      <c r="B100" s="43" t="s">
        <v>1199</v>
      </c>
      <c r="C100" s="65">
        <f t="shared" si="9"/>
        <v>3506511.5688999998</v>
      </c>
      <c r="D100" s="57">
        <v>3506511.5688999998</v>
      </c>
      <c r="E100" s="23">
        <v>1855.5823389120001</v>
      </c>
      <c r="F100" s="24">
        <f t="shared" si="6"/>
        <v>0</v>
      </c>
      <c r="G100" s="25">
        <f t="shared" si="10"/>
        <v>1</v>
      </c>
      <c r="H100" s="26" t="s">
        <v>1246</v>
      </c>
      <c r="I100" s="27" t="s">
        <v>1246</v>
      </c>
      <c r="J100" s="28" t="e">
        <f t="shared" si="7"/>
        <v>#VALUE!</v>
      </c>
      <c r="K100" s="29" t="e">
        <f t="shared" si="11"/>
        <v>#VALUE!</v>
      </c>
      <c r="L100" s="26">
        <v>4187664.1967000002</v>
      </c>
      <c r="M100" s="27">
        <v>8.277100721</v>
      </c>
      <c r="N100" s="28">
        <f t="shared" si="8"/>
        <v>0.19425363767263412</v>
      </c>
      <c r="O100" s="29">
        <v>0</v>
      </c>
    </row>
    <row r="101" spans="2:15" ht="15.75" thickBot="1" x14ac:dyDescent="0.3">
      <c r="B101" s="44" t="s">
        <v>1200</v>
      </c>
      <c r="C101" s="66">
        <f t="shared" si="9"/>
        <v>3453461.6137999999</v>
      </c>
      <c r="D101" s="57">
        <v>3453461.6137999999</v>
      </c>
      <c r="E101" s="23">
        <v>1824.9877163149999</v>
      </c>
      <c r="F101" s="24">
        <f t="shared" si="6"/>
        <v>0</v>
      </c>
      <c r="G101" s="25">
        <f t="shared" si="10"/>
        <v>1</v>
      </c>
      <c r="H101" s="26" t="s">
        <v>1246</v>
      </c>
      <c r="I101" s="27" t="s">
        <v>1246</v>
      </c>
      <c r="J101" s="28" t="e">
        <f t="shared" si="7"/>
        <v>#VALUE!</v>
      </c>
      <c r="K101" s="29" t="e">
        <f t="shared" si="11"/>
        <v>#VALUE!</v>
      </c>
      <c r="L101" s="26">
        <v>4233286.3874000004</v>
      </c>
      <c r="M101" s="27">
        <v>8.6846907059999996</v>
      </c>
      <c r="N101" s="28">
        <f t="shared" si="8"/>
        <v>0.2258095965172533</v>
      </c>
      <c r="O101" s="29">
        <v>0</v>
      </c>
    </row>
    <row r="102" spans="2:15" ht="15.75" thickBot="1" x14ac:dyDescent="0.3">
      <c r="C102" s="67">
        <f>AVERAGE(C57:C101)</f>
        <v>3568726.2923088884</v>
      </c>
      <c r="D102" s="58">
        <f t="shared" ref="D102:F102" si="12">AVERAGE(D57:D101)</f>
        <v>3568726.2923088884</v>
      </c>
      <c r="E102" s="35">
        <f t="shared" si="12"/>
        <v>1539.8848646415995</v>
      </c>
      <c r="F102" s="53">
        <f t="shared" si="12"/>
        <v>0</v>
      </c>
      <c r="G102" s="37">
        <f>SUM(G57:G101)</f>
        <v>45</v>
      </c>
      <c r="H102" s="38" t="e">
        <f>AVERAGE(H57:H101)</f>
        <v>#DIV/0!</v>
      </c>
      <c r="I102" s="38" t="e">
        <f>AVERAGE(I57:I101)</f>
        <v>#DIV/0!</v>
      </c>
      <c r="J102" s="54" t="e">
        <f>AVERAGE(J57:J101)</f>
        <v>#VALUE!</v>
      </c>
      <c r="K102" s="40" t="e">
        <f>SUM(K57:K101)</f>
        <v>#VALUE!</v>
      </c>
      <c r="L102" s="38">
        <f>AVERAGE(L57:L101)</f>
        <v>4302170.511533333</v>
      </c>
      <c r="M102" s="38">
        <f>AVERAGE(M57:M101)</f>
        <v>8.4340737656000009</v>
      </c>
      <c r="N102" s="54">
        <f>AVERAGE(N57:N101)</f>
        <v>0.2165193701998992</v>
      </c>
      <c r="O102" s="40">
        <v>0</v>
      </c>
    </row>
    <row r="108" spans="2:15" x14ac:dyDescent="0.25">
      <c r="I108" s="68"/>
    </row>
    <row r="109" spans="2:15" x14ac:dyDescent="0.25">
      <c r="I109" s="68"/>
    </row>
    <row r="110" spans="2:15" x14ac:dyDescent="0.25">
      <c r="I110" s="68"/>
    </row>
    <row r="111" spans="2:15" x14ac:dyDescent="0.25">
      <c r="I111" s="68"/>
    </row>
    <row r="112" spans="2:15" x14ac:dyDescent="0.25">
      <c r="I112" s="68"/>
    </row>
    <row r="113" spans="9:9" x14ac:dyDescent="0.25">
      <c r="I113" s="68"/>
    </row>
    <row r="114" spans="9:9" x14ac:dyDescent="0.25">
      <c r="I114" s="68"/>
    </row>
    <row r="115" spans="9:9" x14ac:dyDescent="0.25">
      <c r="I115" s="68"/>
    </row>
    <row r="116" spans="9:9" x14ac:dyDescent="0.25">
      <c r="I116" s="68"/>
    </row>
    <row r="117" spans="9:9" x14ac:dyDescent="0.25">
      <c r="I117" s="68"/>
    </row>
    <row r="118" spans="9:9" x14ac:dyDescent="0.25">
      <c r="I118" s="68"/>
    </row>
    <row r="119" spans="9:9" x14ac:dyDescent="0.25">
      <c r="I119" s="68"/>
    </row>
    <row r="120" spans="9:9" x14ac:dyDescent="0.25">
      <c r="I120" s="68"/>
    </row>
    <row r="121" spans="9:9" x14ac:dyDescent="0.25">
      <c r="I121" s="68"/>
    </row>
    <row r="122" spans="9:9" x14ac:dyDescent="0.25">
      <c r="I122" s="68"/>
    </row>
    <row r="123" spans="9:9" x14ac:dyDescent="0.25">
      <c r="I123" s="68"/>
    </row>
    <row r="124" spans="9:9" x14ac:dyDescent="0.25">
      <c r="I124" s="68"/>
    </row>
    <row r="125" spans="9:9" x14ac:dyDescent="0.25">
      <c r="I125" s="68"/>
    </row>
    <row r="126" spans="9:9" x14ac:dyDescent="0.25">
      <c r="I126" s="68"/>
    </row>
    <row r="127" spans="9:9" x14ac:dyDescent="0.25">
      <c r="I127" s="68"/>
    </row>
    <row r="128" spans="9:9" x14ac:dyDescent="0.25">
      <c r="I128" s="68"/>
    </row>
    <row r="129" spans="9:9" x14ac:dyDescent="0.25">
      <c r="I129" s="68"/>
    </row>
    <row r="130" spans="9:9" x14ac:dyDescent="0.25">
      <c r="I130" s="68"/>
    </row>
    <row r="131" spans="9:9" x14ac:dyDescent="0.25">
      <c r="I131" s="68"/>
    </row>
    <row r="132" spans="9:9" x14ac:dyDescent="0.25">
      <c r="I132" s="68"/>
    </row>
    <row r="133" spans="9:9" x14ac:dyDescent="0.25">
      <c r="I133" s="68"/>
    </row>
    <row r="134" spans="9:9" x14ac:dyDescent="0.25">
      <c r="I134" s="68"/>
    </row>
    <row r="135" spans="9:9" x14ac:dyDescent="0.25">
      <c r="I135" s="68"/>
    </row>
    <row r="136" spans="9:9" x14ac:dyDescent="0.25">
      <c r="I136" s="68"/>
    </row>
    <row r="137" spans="9:9" x14ac:dyDescent="0.25">
      <c r="I137" s="68"/>
    </row>
    <row r="138" spans="9:9" x14ac:dyDescent="0.25">
      <c r="I138" s="68"/>
    </row>
    <row r="139" spans="9:9" x14ac:dyDescent="0.25">
      <c r="I139" s="68"/>
    </row>
    <row r="140" spans="9:9" x14ac:dyDescent="0.25">
      <c r="I140" s="68"/>
    </row>
    <row r="141" spans="9:9" x14ac:dyDescent="0.25">
      <c r="I141" s="68"/>
    </row>
    <row r="142" spans="9:9" x14ac:dyDescent="0.25">
      <c r="I142" s="68"/>
    </row>
    <row r="143" spans="9:9" x14ac:dyDescent="0.25">
      <c r="I143" s="68"/>
    </row>
    <row r="144" spans="9:9" x14ac:dyDescent="0.25">
      <c r="I144" s="68"/>
    </row>
    <row r="145" spans="9:9" x14ac:dyDescent="0.25">
      <c r="I145" s="68"/>
    </row>
    <row r="146" spans="9:9" x14ac:dyDescent="0.25">
      <c r="I146" s="68"/>
    </row>
    <row r="147" spans="9:9" x14ac:dyDescent="0.25">
      <c r="I147" s="68"/>
    </row>
    <row r="148" spans="9:9" x14ac:dyDescent="0.25">
      <c r="I148" s="68"/>
    </row>
    <row r="149" spans="9:9" x14ac:dyDescent="0.25">
      <c r="I149" s="68"/>
    </row>
    <row r="150" spans="9:9" x14ac:dyDescent="0.25">
      <c r="I150" s="68"/>
    </row>
    <row r="151" spans="9:9" x14ac:dyDescent="0.25">
      <c r="I151" s="68"/>
    </row>
    <row r="152" spans="9:9" x14ac:dyDescent="0.25">
      <c r="I152" s="68"/>
    </row>
    <row r="153" spans="9:9" x14ac:dyDescent="0.25">
      <c r="I153" s="68"/>
    </row>
    <row r="154" spans="9:9" x14ac:dyDescent="0.25">
      <c r="I154" s="68"/>
    </row>
    <row r="155" spans="9:9" x14ac:dyDescent="0.25">
      <c r="I155" s="68"/>
    </row>
    <row r="156" spans="9:9" x14ac:dyDescent="0.25">
      <c r="I156" s="68"/>
    </row>
    <row r="157" spans="9:9" x14ac:dyDescent="0.25">
      <c r="I157" s="68"/>
    </row>
    <row r="158" spans="9:9" x14ac:dyDescent="0.25">
      <c r="I158" s="68"/>
    </row>
    <row r="159" spans="9:9" x14ac:dyDescent="0.25">
      <c r="I159" s="68"/>
    </row>
    <row r="160" spans="9:9" x14ac:dyDescent="0.25">
      <c r="I160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n=20</vt:lpstr>
      <vt:lpstr>n=40</vt:lpstr>
      <vt:lpstr>n=60</vt:lpstr>
      <vt:lpstr>n=80</vt:lpstr>
      <vt:lpstr>n=100</vt:lpstr>
      <vt:lpstr>n=200</vt:lpstr>
      <vt:lpstr>n=500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Salazar</dc:creator>
  <cp:lastModifiedBy>Sergio Salazar Cárdenas</cp:lastModifiedBy>
  <dcterms:created xsi:type="dcterms:W3CDTF">2015-06-05T18:19:34Z</dcterms:created>
  <dcterms:modified xsi:type="dcterms:W3CDTF">2025-10-20T07:52:37Z</dcterms:modified>
</cp:coreProperties>
</file>